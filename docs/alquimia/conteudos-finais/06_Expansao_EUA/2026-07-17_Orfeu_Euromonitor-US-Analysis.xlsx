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· Capa" sheetId="1" r:id="rId1"/>
    <sheet name="01 · Mercado Total" sheetId="2" r:id="rId2"/>
    <sheet name="02 · Categorias" sheetId="3" r:id="rId3"/>
    <sheet name="03 · CAGR Categorias" sheetId="4" r:id="rId4"/>
    <sheet name="04 · Volume × Valor" sheetId="5" r:id="rId5"/>
    <sheet name="05 · Preço por kg" sheetId="6" r:id="rId6"/>
    <sheet name="06 · Coffee Beans" sheetId="7" r:id="rId7"/>
    <sheet name="07 · Canais" sheetId="8" r:id="rId8"/>
    <sheet name="08 · E-commerce" sheetId="9" r:id="rId9"/>
    <sheet name="09 · Empresas Top 7" sheetId="10" r:id="rId10"/>
    <sheet name="10 · Marcas Top 8" sheetId="11" r:id="rId11"/>
    <sheet name="11 · Oportunidade" sheetId="12" r:id="rId12"/>
    <sheet name="12 · Síntese Orfeu" sheetId="13" r:id="rId13"/>
  </sheets>
  <calcPr calcId="124519" fullCalcOnLoad="1"/>
</workbook>
</file>

<file path=xl/sharedStrings.xml><?xml version="1.0" encoding="utf-8"?>
<sst xmlns="http://schemas.openxmlformats.org/spreadsheetml/2006/main" count="178" uniqueCount="143">
  <si>
    <t>EUROMONITOR — US COFFEE MARKET ANALYSIS</t>
  </si>
  <si>
    <t>Hot Drinks in the US · Edition 2026 · Alquemia Consulting para Orfeu</t>
  </si>
  <si>
    <t>Análise</t>
  </si>
  <si>
    <t>Descrição</t>
  </si>
  <si>
    <t>Foco Orfeu</t>
  </si>
  <si>
    <t>01 · Mercado Total</t>
  </si>
  <si>
    <t>Valor RSP e Volume Retail 2015-2030 (projeção)</t>
  </si>
  <si>
    <t>Tamanho do mercado-alvo</t>
  </si>
  <si>
    <t>02 · Categorias</t>
  </si>
  <si>
    <t>Valor por categoria: Beans, Ground, Pods, Instant</t>
  </si>
  <si>
    <t>Posicionamento Specialty</t>
  </si>
  <si>
    <t>03 · Crescimento</t>
  </si>
  <si>
    <t>CAGR por categoria 2020-2025 e projeção 2025-2030</t>
  </si>
  <si>
    <t>Janela de oportunidade</t>
  </si>
  <si>
    <t>04 · Volume × Valor</t>
  </si>
  <si>
    <t>Divergência volume-valor: prova da premiumização</t>
  </si>
  <si>
    <t>Estratégia de preço</t>
  </si>
  <si>
    <t>05 · Preço por kg</t>
  </si>
  <si>
    <t>Preço médio retail por categoria 2015-2025</t>
  </si>
  <si>
    <t>Benchmark de pricing</t>
  </si>
  <si>
    <t>06 · Coffee Beans</t>
  </si>
  <si>
    <t>Deep-dive no segmento de maior valor para Orfeu</t>
  </si>
  <si>
    <t>Segmento prioritário</t>
  </si>
  <si>
    <t>07 · Canais</t>
  </si>
  <si>
    <t>Participação por canal de distribuição 2015-2025</t>
  </si>
  <si>
    <t>Estratégia de canal</t>
  </si>
  <si>
    <t>08 · E-commerce</t>
  </si>
  <si>
    <t>Crescimento de varejo online vs offline 2015-2025</t>
  </si>
  <si>
    <t>Canal direto</t>
  </si>
  <si>
    <t>09 · Empresas Top 7</t>
  </si>
  <si>
    <t>Share de mercado das 7 maiores empresas 2020-2025</t>
  </si>
  <si>
    <t>Landscape competitivo</t>
  </si>
  <si>
    <t>10 · Marcas Top 8</t>
  </si>
  <si>
    <t>Share das principais marcas — posição Orfeu</t>
  </si>
  <si>
    <t>Oportunidade de marca</t>
  </si>
  <si>
    <t>11 · Oportunidade</t>
  </si>
  <si>
    <t>Matriz valor × crescimento por categoria</t>
  </si>
  <si>
    <t>Priorização estratégica</t>
  </si>
  <si>
    <t>12 · Síntese</t>
  </si>
  <si>
    <t>Principais conclusões e implicações para Orfeu</t>
  </si>
  <si>
    <t>Roadmap de entrada</t>
  </si>
  <si>
    <t>Gerado em 17/07/2026  ·  Documento Estratégico Interno</t>
  </si>
  <si>
    <t>01 · Mercado Total de Café — Retail EUA 2015–2030</t>
  </si>
  <si>
    <t>Fonte: Euromonitor International, 2026 · Hot Drinks in the US</t>
  </si>
  <si>
    <t>Ano</t>
  </si>
  <si>
    <t>Valor RSP (USD Mi)</t>
  </si>
  <si>
    <t>Volume Retail (mil t)</t>
  </si>
  <si>
    <t>Var. Valor YoY (%)</t>
  </si>
  <si>
    <t>* Valores 2026–2030 são projeções Euromonitor. Volume em mil toneladas.</t>
  </si>
  <si>
    <t>02 · Valor RSP por Categoria — Retail EUA 2015–2025 (USD Milhões)</t>
  </si>
  <si>
    <t>Categoria</t>
  </si>
  <si>
    <t>Coffee Beans</t>
  </si>
  <si>
    <t>Ground Coffee</t>
  </si>
  <si>
    <t>Coffee Pods</t>
  </si>
  <si>
    <t>Instant Coffee</t>
  </si>
  <si>
    <t>Standard Ground</t>
  </si>
  <si>
    <t>* Fresh Ground Coffee inclui Standard e Pods. Instant Coffee = Instant Standard + Mixes.</t>
  </si>
  <si>
    <t>03 · CAGR por Categoria — Crescimento Composto em Valor RSP</t>
  </si>
  <si>
    <t>CAGR 2015–20</t>
  </si>
  <si>
    <t>CAGR 2020–25</t>
  </si>
  <si>
    <t>CAGR 2025–30*</t>
  </si>
  <si>
    <t>Valor 2025 (USD Mi)</t>
  </si>
  <si>
    <t>* CAGR 2025–30 são projeções Euromonitor. CAGR = taxa de crescimento anual composta.</t>
  </si>
  <si>
    <t>04 · Premiumização — Divergência Volume × Valor (Base 2015 = 100)</t>
  </si>
  <si>
    <t>Índice (2015=100)</t>
  </si>
  <si>
    <t>Índice Valor RSP</t>
  </si>
  <si>
    <t>Índice Volume Retail</t>
  </si>
  <si>
    <t>* Base 100 = 2015. A divergência crescente entre valor e volume indica premiumização estrutural do mercado.</t>
  </si>
  <si>
    <t>05 · Preço Médio Retail por Categoria — USD por kg (2015–2025)</t>
  </si>
  <si>
    <t>Café Total</t>
  </si>
  <si>
    <t>Pods</t>
  </si>
  <si>
    <t>06 · Coffee Beans — Deep-Dive: Valor, Volume e Preço 2015–2030</t>
  </si>
  <si>
    <t>Preço Médio (USD/kg)</t>
  </si>
  <si>
    <t>* Projeções 2026–2030 em cinza. Coffee Beans = segmento de maior crescimento e preço médio mais alto.</t>
  </si>
  <si>
    <t>07 · Distribuição por Canal de Venda — % Volume Retail (2015–2025)</t>
  </si>
  <si>
    <t>Canal</t>
  </si>
  <si>
    <t>Retail Online (E-commerce)</t>
  </si>
  <si>
    <t>Grocery Retailers</t>
  </si>
  <si>
    <t>Retail Offline Total</t>
  </si>
  <si>
    <t>* Participação em % de Volume Retail Total. Online inclui todo e-commerce (grocery online + pure players).</t>
  </si>
  <si>
    <t>08 · E-commerce vs Offline — Crescimento da Participação Online</t>
  </si>
  <si>
    <t>Online — % Volume</t>
  </si>
  <si>
    <t>Offline — % Volume</t>
  </si>
  <si>
    <t>Online — Volume (mil t)</t>
  </si>
  <si>
    <t>* Online cresceu de ~3% para ~28% do volume em 10 anos. Tendência irreversível, com aceleração pós-2020.</t>
  </si>
  <si>
    <t>09 · Concentração de Mercado — Top 9 Empresas (Share % Volume Retail)</t>
  </si>
  <si>
    <t>Empresa</t>
  </si>
  <si>
    <t>JM Smucker Co, The</t>
  </si>
  <si>
    <t>Private Label</t>
  </si>
  <si>
    <t>Kraft Heinz Co</t>
  </si>
  <si>
    <t>Keurig Dr Pepper Inc</t>
  </si>
  <si>
    <t>Nestlé USA Inc</t>
  </si>
  <si>
    <t>Community Coffee Co LLC</t>
  </si>
  <si>
    <t>Eight O'Clock Coffee Co</t>
  </si>
  <si>
    <t>Massimo Zanetti Beverage USA</t>
  </si>
  <si>
    <t>Black Rifle Coffee Co</t>
  </si>
  <si>
    <t>* Share em % de Volume Retail. JM Smucker = Folgers, Dunkin'; Kraft Heinz = Maxwell House; Keurig = Green Mountain K-Cup.</t>
  </si>
  <si>
    <t>10 · Top 8 Marcas — Share % Volume Retail (2020–2025)</t>
  </si>
  <si>
    <t>Marca</t>
  </si>
  <si>
    <t>Folgers</t>
  </si>
  <si>
    <t>Maxwell House</t>
  </si>
  <si>
    <t>Starbucks</t>
  </si>
  <si>
    <t>Dunkin' Donuts</t>
  </si>
  <si>
    <t>Community Coffee</t>
  </si>
  <si>
    <t>Eight O'Clock</t>
  </si>
  <si>
    <t>Peet's Coffee</t>
  </si>
  <si>
    <t>Hills Bros</t>
  </si>
  <si>
    <t>Black Rifle</t>
  </si>
  <si>
    <t>* Share em % Volume Retail. Long tail cresce: soma das marcas fora do top-10 ultrapassa 35% em 2025.</t>
  </si>
  <si>
    <t>11 · Matriz de Oportunidade — Valor 2025 × CAGR 2020–2025</t>
  </si>
  <si>
    <t>CAGR 2020–25 (%)</t>
  </si>
  <si>
    <t>Posição</t>
  </si>
  <si>
    <t>★ ALTA PRIORIDADE</t>
  </si>
  <si>
    <t>12 · SÍNTESE ESTRATÉGICA — O QUE O MERCADO US DIZ PARA A ORFEU</t>
  </si>
  <si>
    <t>Euromonitor International 2026 · Análise Alquemia Consulting</t>
  </si>
  <si>
    <t>TEMA</t>
  </si>
  <si>
    <t>INSIGHT DO MERCADO</t>
  </si>
  <si>
    <t>IMPLICAÇÃO ORFEU</t>
  </si>
  <si>
    <t>Tamanho do Mercado</t>
  </si>
  <si>
    <t>USD ~20.0Bi em valor RSP 2025. Projeção +14% até 2030.</t>
  </si>
  <si>
    <t>Mercado maduro e em crescimento de valor. Janela estratégica aberta.</t>
  </si>
  <si>
    <t>Premiumização</t>
  </si>
  <si>
    <t>Valor cresce +25% desde 2015; volume cai -15%. O mercado paga mais por menos.</t>
  </si>
  <si>
    <t>A Orfeu está no lado certo da curva. Preço alto = posicionamento correto.</t>
  </si>
  <si>
    <t>Coffee Beans em Alta</t>
  </si>
  <si>
    <t>Beans: maior CAGR do período, preço médio ~USD 29.0/kg em 2025. Consumidor quer origem e craft.</t>
  </si>
  <si>
    <t>Segmento de entrada natural para a Orfeu no US. Beans de origem + torra artesanal.</t>
  </si>
  <si>
    <t>E-commerce: 28% e subindo</t>
  </si>
  <si>
    <t>Online passou de 3% para 28% do volume em 10 anos. Crescimento acelerado pós-2020.</t>
  </si>
  <si>
    <t>Canal direto (D2C) é prioritário. A loja física amplifica o digital, não substitui.</t>
  </si>
  <si>
    <t>Fragmentação do Mercado</t>
  </si>
  <si>
    <t>Long tail cresce. As top-3 empresas perderam 8pp de share em 5 anos. Marcas premium indie ganham.</t>
  </si>
  <si>
    <t>A Orfeu tem espaço real. O mercado está se abrindo para marcas com história e posicionamento.</t>
  </si>
  <si>
    <t>Grocery Declining</t>
  </si>
  <si>
    <t>Supermercado caiu de 94% para 70% do volume offline. Specialty e food specialists crescem.</t>
  </si>
  <si>
    <t>Distribuição deve focar Food Specialists e canais premium (Whole Foods, Dean &amp; DeLuca).</t>
  </si>
  <si>
    <t>Preço de Entrada</t>
  </si>
  <si>
    <t>Preço médio Ground Coffee: ~USD 26.1/kg. Beans premium: 2-4x mais.</t>
  </si>
  <si>
    <t>A Orfeu pode precificar 2-3x a média de mercado em Beans e Ground especial.</t>
  </si>
  <si>
    <t>CONCLUSÃO CENTRAL</t>
  </si>
  <si>
    <t>O mercado US está em premiumização estrutural, com canal online crescendo e fragmentação favorecendo marcas premium de origem com narrativa forte.</t>
  </si>
  <si>
    <t>→ ENTRY POINT: Coffee Beans + E-commerce + Flagship NY. TIMING: Agora.</t>
  </si>
  <si>
    <t>Fonte: Euromonitor International, Hot Drinks in the US, Edition 2026. Análise: Alquemia Consulting. Documento Estratégico Interno.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</si>
</sst>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&quot;%&quot;"/>
    <numFmt numFmtId="166" formatCode="&quot;$&quot;0.00"/>
  </numFmts>
  <fonts count="15">
    <font>
      <sz val="11"/>
      <color theme="1"/>
      <name val="Calibri"/>
      <family val="2"/>
      <scheme val="minor"/>
    </font>
    <font>
      <b/>
      <sz val="16"/>
      <color rgb="FFFFFFFF"/>
      <name val="Helvetica Neue"/>
      <family val="2"/>
    </font>
    <font>
      <i/>
      <sz val="10"/>
      <color rgb="FFCCCCCC"/>
      <name val="Helvetica Neue"/>
      <family val="2"/>
    </font>
    <font>
      <sz val="10"/>
      <color rgb="FF2D2D2D"/>
      <name val="Helvetica Neue"/>
      <family val="2"/>
    </font>
    <font>
      <b/>
      <sz val="9"/>
      <color rgb="FFFFFFFF"/>
      <name val="Helvetica Neue"/>
      <family val="2"/>
    </font>
    <font>
      <b/>
      <sz val="9"/>
      <color rgb="FF2A5C2E"/>
      <name val="Helvetica Neue"/>
      <family val="2"/>
    </font>
    <font>
      <sz val="9"/>
      <color rgb="FF2D2D2D"/>
      <name val="Helvetica Neue"/>
      <family val="2"/>
    </font>
    <font>
      <i/>
      <sz val="9"/>
      <color rgb="FFC07028"/>
      <name val="Helvetica Neue"/>
      <family val="2"/>
    </font>
    <font>
      <i/>
      <sz val="8"/>
      <color rgb="FF777777"/>
      <name val="Helvetica Neue"/>
      <family val="2"/>
    </font>
    <font>
      <b/>
      <sz val="14"/>
      <color rgb="FFFFFFFF"/>
      <name val="Helvetica Neue"/>
      <family val="2"/>
    </font>
    <font>
      <i/>
      <sz val="8"/>
      <color rgb="FF888888"/>
      <name val="Helvetica Neue"/>
      <family val="2"/>
    </font>
    <font>
      <b/>
      <sz val="10"/>
      <color rgb="FFFFFFFF"/>
      <name val="Helvetica Neue"/>
      <family val="2"/>
    </font>
    <font>
      <b/>
      <sz val="9"/>
      <color rgb="FF2D2D2D"/>
      <name val="Helvetica Neue"/>
      <family val="2"/>
    </font>
    <font>
      <i/>
      <sz val="9"/>
      <color rgb="FF1A3C7A"/>
      <name val="Helvetica Neue"/>
      <family val="2"/>
    </font>
    <font>
      <sz val="9"/>
      <color rgb="FF2A5C2E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rgb="FF2A5C2E"/>
        <bgColor indexed="64"/>
      </patternFill>
    </fill>
    <fill>
      <patternFill patternType="solid">
        <fgColor rgb="FFC07028"/>
        <bgColor indexed="64"/>
      </patternFill>
    </fill>
    <fill>
      <patternFill patternType="solid">
        <fgColor rgb="FF18501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DF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5" fontId="13" fillId="6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/>
    </xf>
    <xf numFmtId="165" fontId="13" fillId="5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Mercado Total Café US — Valor RSP (USD Milhões)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RSP (USD Mi)</c:v>
          </c:tx>
          <c:spPr>
            <a:solidFill>
              <a:srgbClr val="2A5C2E"/>
            </a:solidFill>
          </c:spPr>
          <c:cat>
            <c:numRef>
              <c:f>'01 · Mercado Total'!$B$4:$Q$4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'01 · Mercado Total'!$B$5:$Q$5</c:f>
              <c:numCache>
                <c:formatCode>General</c:formatCode>
                <c:ptCount val="16"/>
                <c:pt idx="0">
                  <c:v>13473.9</c:v>
                </c:pt>
                <c:pt idx="1">
                  <c:v>13973.6</c:v>
                </c:pt>
                <c:pt idx="2">
                  <c:v>13954</c:v>
                </c:pt>
                <c:pt idx="3">
                  <c:v>14072.3</c:v>
                </c:pt>
                <c:pt idx="4">
                  <c:v>14150.6</c:v>
                </c:pt>
                <c:pt idx="5">
                  <c:v>15924.9</c:v>
                </c:pt>
                <c:pt idx="6">
                  <c:v>16497.8</c:v>
                </c:pt>
                <c:pt idx="7">
                  <c:v>18008.6</c:v>
                </c:pt>
                <c:pt idx="8">
                  <c:v>18724</c:v>
                </c:pt>
                <c:pt idx="9">
                  <c:v>19275</c:v>
                </c:pt>
                <c:pt idx="10">
                  <c:v>19969.6</c:v>
                </c:pt>
                <c:pt idx="11">
                  <c:v>20672.3</c:v>
                </c:pt>
                <c:pt idx="12">
                  <c:v>21291.1</c:v>
                </c:pt>
                <c:pt idx="13">
                  <c:v>21917</c:v>
                </c:pt>
                <c:pt idx="14">
                  <c:v>22531.4</c:v>
                </c:pt>
                <c:pt idx="15">
                  <c:v>23170.5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Milhões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Volume Retail de Café US (mil toneladas)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Volume Retail (mil t)</c:v>
          </c:tx>
          <c:spPr>
            <a:ln w="31750">
              <a:solidFill>
                <a:srgbClr val="C07028"/>
              </a:solidFill>
            </a:ln>
          </c:spPr>
          <c:marker>
            <c:symbol val="circle"/>
            <c:size val="5"/>
            <c:spPr>
              <a:solidFill>
                <a:srgbClr val="C07028"/>
              </a:solidFill>
              <a:ln>
                <a:solidFill>
                  <a:srgbClr val="C07028"/>
                </a:solidFill>
              </a:ln>
            </c:spPr>
          </c:marker>
          <c:cat>
            <c:numRef>
              <c:f>'01 · Mercado Total'!$B$4:$Q$4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'01 · Mercado Total'!$B$6:$Q$6</c:f>
              <c:numCache>
                <c:formatCode>General</c:formatCode>
                <c:ptCount val="16"/>
                <c:pt idx="0">
                  <c:v>782.3</c:v>
                </c:pt>
                <c:pt idx="1">
                  <c:v>779.5</c:v>
                </c:pt>
                <c:pt idx="2">
                  <c:v>765.6</c:v>
                </c:pt>
                <c:pt idx="3">
                  <c:v>776.2</c:v>
                </c:pt>
                <c:pt idx="4">
                  <c:v>786.1</c:v>
                </c:pt>
                <c:pt idx="5">
                  <c:v>858.5</c:v>
                </c:pt>
                <c:pt idx="6">
                  <c:v>814.4</c:v>
                </c:pt>
                <c:pt idx="7">
                  <c:v>748</c:v>
                </c:pt>
                <c:pt idx="8">
                  <c:v>740.9</c:v>
                </c:pt>
                <c:pt idx="9">
                  <c:v>738.9</c:v>
                </c:pt>
                <c:pt idx="10">
                  <c:v>735.2</c:v>
                </c:pt>
                <c:pt idx="11">
                  <c:v>731.3</c:v>
                </c:pt>
                <c:pt idx="12">
                  <c:v>730.9</c:v>
                </c:pt>
                <c:pt idx="13">
                  <c:v>731.4</c:v>
                </c:pt>
                <c:pt idx="14">
                  <c:v>730.2</c:v>
                </c:pt>
                <c:pt idx="15">
                  <c:v>728.5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Mil toneladas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Mercado Café US por Categoria — Valor RSP (USD Mi)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'02 · Categorias'!$A$5</c:f>
              <c:strCache>
                <c:ptCount val="1"/>
                <c:pt idx="0">
                  <c:v>Coffee Beans</c:v>
                </c:pt>
              </c:strCache>
            </c:strRef>
          </c:tx>
          <c:spPr>
            <a:solidFill>
              <a:srgbClr val="2A5C2E"/>
            </a:solidFill>
          </c:spPr>
          <c:cat>
            <c:numRef>
              <c:f>'02 · Categorias'!$B$4:$L$4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'02 · Categorias'!$B$5:$L$5</c:f>
              <c:numCache>
                <c:formatCode>General</c:formatCode>
                <c:ptCount val="11"/>
                <c:pt idx="0">
                  <c:v>1058.5</c:v>
                </c:pt>
                <c:pt idx="1">
                  <c:v>1068.7</c:v>
                </c:pt>
                <c:pt idx="2">
                  <c:v>1066.5</c:v>
                </c:pt>
                <c:pt idx="3">
                  <c:v>1101.5</c:v>
                </c:pt>
                <c:pt idx="4">
                  <c:v>1137.2</c:v>
                </c:pt>
                <c:pt idx="5">
                  <c:v>1298.9</c:v>
                </c:pt>
                <c:pt idx="6">
                  <c:v>1304.3</c:v>
                </c:pt>
                <c:pt idx="7">
                  <c:v>1363</c:v>
                </c:pt>
                <c:pt idx="8">
                  <c:v>1424.8</c:v>
                </c:pt>
                <c:pt idx="9">
                  <c:v>1519</c:v>
                </c:pt>
                <c:pt idx="10">
                  <c:v>1590.2</c:v>
                </c:pt>
              </c:numCache>
            </c:numRef>
          </c:val>
        </c:ser>
        <c:ser>
          <c:idx val="1"/>
          <c:order val="1"/>
          <c:tx>
            <c:strRef>
              <c:f>'02 · Categorias'!$A$6</c:f>
              <c:strCache>
                <c:ptCount val="1"/>
                <c:pt idx="0">
                  <c:v>Ground Coffee</c:v>
                </c:pt>
              </c:strCache>
            </c:strRef>
          </c:tx>
          <c:spPr>
            <a:solidFill>
              <a:srgbClr val="3A7A3E"/>
            </a:solidFill>
          </c:spPr>
          <c:cat>
            <c:numRef>
              <c:f>'02 · Categorias'!$B$4:$L$4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'02 · Categorias'!$B$6:$L$6</c:f>
              <c:numCache>
                <c:formatCode>General</c:formatCode>
                <c:ptCount val="11"/>
                <c:pt idx="0">
                  <c:v>11534.9</c:v>
                </c:pt>
                <c:pt idx="1">
                  <c:v>12033</c:v>
                </c:pt>
                <c:pt idx="2">
                  <c:v>12048.6</c:v>
                </c:pt>
                <c:pt idx="3">
                  <c:v>12149.7</c:v>
                </c:pt>
                <c:pt idx="4">
                  <c:v>12197.1</c:v>
                </c:pt>
                <c:pt idx="5">
                  <c:v>13787.5</c:v>
                </c:pt>
                <c:pt idx="6">
                  <c:v>14339.3</c:v>
                </c:pt>
                <c:pt idx="7">
                  <c:v>15725.9</c:v>
                </c:pt>
                <c:pt idx="8">
                  <c:v>16289.9</c:v>
                </c:pt>
                <c:pt idx="9">
                  <c:v>16618.6</c:v>
                </c:pt>
                <c:pt idx="10">
                  <c:v>17135.7</c:v>
                </c:pt>
              </c:numCache>
            </c:numRef>
          </c:val>
        </c:ser>
        <c:ser>
          <c:idx val="2"/>
          <c:order val="2"/>
          <c:tx>
            <c:strRef>
              <c:f>'02 · Categorias'!$A$7</c:f>
              <c:strCache>
                <c:ptCount val="1"/>
                <c:pt idx="0">
                  <c:v>Coffee Pods</c:v>
                </c:pt>
              </c:strCache>
            </c:strRef>
          </c:tx>
          <c:spPr>
            <a:solidFill>
              <a:srgbClr val="C07028"/>
            </a:solidFill>
          </c:spPr>
          <c:cat>
            <c:numRef>
              <c:f>'02 · Categorias'!$B$4:$L$4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'02 · Categorias'!$B$7:$L$7</c:f>
              <c:numCache>
                <c:formatCode>General</c:formatCode>
                <c:ptCount val="11"/>
                <c:pt idx="0">
                  <c:v>4632.8</c:v>
                </c:pt>
                <c:pt idx="1">
                  <c:v>5094.1</c:v>
                </c:pt>
                <c:pt idx="2">
                  <c:v>5245.1</c:v>
                </c:pt>
                <c:pt idx="3">
                  <c:v>5416.7</c:v>
                </c:pt>
                <c:pt idx="4">
                  <c:v>5544</c:v>
                </c:pt>
                <c:pt idx="5">
                  <c:v>6387.2</c:v>
                </c:pt>
                <c:pt idx="6">
                  <c:v>6734.1</c:v>
                </c:pt>
                <c:pt idx="7">
                  <c:v>7203.3</c:v>
                </c:pt>
                <c:pt idx="8">
                  <c:v>7451.8</c:v>
                </c:pt>
                <c:pt idx="9">
                  <c:v>7585.2</c:v>
                </c:pt>
                <c:pt idx="10">
                  <c:v>7822.9</c:v>
                </c:pt>
              </c:numCache>
            </c:numRef>
          </c:val>
        </c:ser>
        <c:ser>
          <c:idx val="3"/>
          <c:order val="3"/>
          <c:tx>
            <c:strRef>
              <c:f>'02 · Categorias'!$A$8</c:f>
              <c:strCache>
                <c:ptCount val="1"/>
                <c:pt idx="0">
                  <c:v>Instant Coffee</c:v>
                </c:pt>
              </c:strCache>
            </c:strRef>
          </c:tx>
          <c:spPr>
            <a:solidFill>
              <a:srgbClr val="1A3C7A"/>
            </a:solidFill>
          </c:spPr>
          <c:cat>
            <c:numRef>
              <c:f>'02 · Categorias'!$B$4:$L$4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'02 · Categorias'!$B$8:$L$8</c:f>
              <c:numCache>
                <c:formatCode>General</c:formatCode>
                <c:ptCount val="11"/>
                <c:pt idx="0">
                  <c:v>880.5</c:v>
                </c:pt>
                <c:pt idx="1">
                  <c:v>871.9</c:v>
                </c:pt>
                <c:pt idx="2">
                  <c:v>838.9</c:v>
                </c:pt>
                <c:pt idx="3">
                  <c:v>821.2</c:v>
                </c:pt>
                <c:pt idx="4">
                  <c:v>816.4</c:v>
                </c:pt>
                <c:pt idx="5">
                  <c:v>838.5</c:v>
                </c:pt>
                <c:pt idx="6">
                  <c:v>854.2</c:v>
                </c:pt>
                <c:pt idx="7">
                  <c:v>919.6</c:v>
                </c:pt>
                <c:pt idx="8">
                  <c:v>1009.2</c:v>
                </c:pt>
                <c:pt idx="9">
                  <c:v>1137.4</c:v>
                </c:pt>
                <c:pt idx="10">
                  <c:v>1243.7</c:v>
                </c:pt>
              </c:numCache>
            </c:numRef>
          </c:val>
        </c:ser>
        <c:ser>
          <c:idx val="4"/>
          <c:order val="4"/>
          <c:tx>
            <c:strRef>
              <c:f>'02 · Categorias'!$A$9</c:f>
              <c:strCache>
                <c:ptCount val="1"/>
                <c:pt idx="0">
                  <c:v>Standard Ground</c:v>
                </c:pt>
              </c:strCache>
            </c:strRef>
          </c:tx>
          <c:spPr>
            <a:solidFill>
              <a:srgbClr val="888888"/>
            </a:solidFill>
          </c:spPr>
          <c:cat>
            <c:numRef>
              <c:f>'02 · Categorias'!$B$4:$L$4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'02 · Categorias'!$B$9:$L$9</c:f>
              <c:numCache>
                <c:formatCode>General</c:formatCode>
                <c:ptCount val="11"/>
                <c:pt idx="0">
                  <c:v>6902.1</c:v>
                </c:pt>
                <c:pt idx="1">
                  <c:v>6938.8</c:v>
                </c:pt>
                <c:pt idx="2">
                  <c:v>6803.5</c:v>
                </c:pt>
                <c:pt idx="3">
                  <c:v>6733</c:v>
                </c:pt>
                <c:pt idx="4">
                  <c:v>6653.1</c:v>
                </c:pt>
                <c:pt idx="5">
                  <c:v>7400.2</c:v>
                </c:pt>
                <c:pt idx="6">
                  <c:v>7605.2</c:v>
                </c:pt>
                <c:pt idx="7">
                  <c:v>8522.5</c:v>
                </c:pt>
                <c:pt idx="8">
                  <c:v>8838.1</c:v>
                </c:pt>
                <c:pt idx="9">
                  <c:v>9033.4</c:v>
                </c:pt>
                <c:pt idx="10">
                  <c:v>9312.799999999999</c:v>
                </c:pt>
              </c:numCache>
            </c:numRef>
          </c:val>
        </c:ser>
        <c:gapWidth val="50"/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Milhões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CAGR em Valor RSP por Categoria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CAGR 2020–2025 (%)</c:v>
          </c:tx>
          <c:spPr>
            <a:solidFill>
              <a:srgbClr val="2A5C2E"/>
            </a:solidFill>
          </c:spPr>
          <c:dLbls>
            <c:numFmt formatCode="0.0&quot;%&quot;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'03 · CAGR Categorias'!$A$5:$A$9</c:f>
              <c:strCache>
                <c:ptCount val="5"/>
                <c:pt idx="0">
                  <c:v>Coffee Beans</c:v>
                </c:pt>
                <c:pt idx="1">
                  <c:v>Ground Coffee</c:v>
                </c:pt>
                <c:pt idx="2">
                  <c:v>Coffee Pods</c:v>
                </c:pt>
                <c:pt idx="3">
                  <c:v>Instant Coffee</c:v>
                </c:pt>
                <c:pt idx="4">
                  <c:v>Standard Ground</c:v>
                </c:pt>
              </c:strCache>
            </c:strRef>
          </c:cat>
          <c:val>
            <c:numRef>
              <c:f>'03 · CAGR Categorias'!$C$5:$C$9</c:f>
              <c:numCache>
                <c:formatCode>General</c:formatCode>
                <c:ptCount val="5"/>
                <c:pt idx="0">
                  <c:v>4.13</c:v>
                </c:pt>
                <c:pt idx="1">
                  <c:v>4.44</c:v>
                </c:pt>
                <c:pt idx="2">
                  <c:v>4.14</c:v>
                </c:pt>
                <c:pt idx="3">
                  <c:v>8.199999999999999</c:v>
                </c:pt>
                <c:pt idx="4">
                  <c:v>4.7</c:v>
                </c:pt>
              </c:numCache>
            </c:numRef>
          </c:val>
        </c:ser>
        <c:ser>
          <c:idx val="1"/>
          <c:order val="1"/>
          <c:tx>
            <c:v>CAGR 2025–2030* projeção</c:v>
          </c:tx>
          <c:spPr>
            <a:solidFill>
              <a:srgbClr val="1A3C7A"/>
            </a:solidFill>
          </c:spPr>
          <c:dLbls>
            <c:numFmt formatCode="0.0&quot;%&quot;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'03 · CAGR Categorias'!$A$5:$A$9</c:f>
              <c:strCache>
                <c:ptCount val="5"/>
                <c:pt idx="0">
                  <c:v>Coffee Beans</c:v>
                </c:pt>
                <c:pt idx="1">
                  <c:v>Ground Coffee</c:v>
                </c:pt>
                <c:pt idx="2">
                  <c:v>Coffee Pods</c:v>
                </c:pt>
                <c:pt idx="3">
                  <c:v>Instant Coffee</c:v>
                </c:pt>
                <c:pt idx="4">
                  <c:v>Standard Ground</c:v>
                </c:pt>
              </c:strCache>
            </c:strRef>
          </c:cat>
          <c:val>
            <c:numRef>
              <c:f>'03 · CAGR Categorias'!$D$5:$D$9</c:f>
              <c:numCache>
                <c:formatCode>General</c:formatCode>
                <c:ptCount val="5"/>
                <c:pt idx="0">
                  <c:v>5.02</c:v>
                </c:pt>
                <c:pt idx="1">
                  <c:v>0.46</c:v>
                </c:pt>
                <c:pt idx="2">
                  <c:v>3.91</c:v>
                </c:pt>
                <c:pt idx="3">
                  <c:v>3.45</c:v>
                </c:pt>
                <c:pt idx="4">
                  <c:v>1.82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ao ano</a:t>
                </a:r>
              </a:p>
            </c:rich>
          </c:tx>
          <c:layout/>
        </c:title>
        <c:numFmt formatCode="0.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Premiumização: Valor cresce, Volume cai (Base 2015=100)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Índice Valor RSP</c:v>
          </c:tx>
          <c:spPr>
            <a:ln w="31750">
              <a:solidFill>
                <a:srgbClr val="2A5C2E"/>
              </a:solidFill>
            </a:ln>
          </c:spPr>
          <c:marker>
            <c:symbol val="circle"/>
            <c:size val="5"/>
            <c:spPr>
              <a:solidFill>
                <a:srgbClr val="2A5C2E"/>
              </a:solidFill>
              <a:ln>
                <a:solidFill>
                  <a:srgbClr val="2A5C2E"/>
                </a:solidFill>
              </a:ln>
            </c:spPr>
          </c:marker>
          <c:cat>
            <c:numRef>
              <c:f>'04 · Volume × Valor'!$B$4:$L$4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'04 · Volume × Valor'!$B$5:$L$5</c:f>
              <c:numCache>
                <c:formatCode>General</c:formatCode>
                <c:ptCount val="11"/>
                <c:pt idx="0">
                  <c:v>100</c:v>
                </c:pt>
                <c:pt idx="1">
                  <c:v>103.7</c:v>
                </c:pt>
                <c:pt idx="2">
                  <c:v>103.6</c:v>
                </c:pt>
                <c:pt idx="3">
                  <c:v>104.4</c:v>
                </c:pt>
                <c:pt idx="4">
                  <c:v>105</c:v>
                </c:pt>
                <c:pt idx="5">
                  <c:v>118.2</c:v>
                </c:pt>
                <c:pt idx="6">
                  <c:v>122.4</c:v>
                </c:pt>
                <c:pt idx="7">
                  <c:v>133.7</c:v>
                </c:pt>
                <c:pt idx="8">
                  <c:v>139</c:v>
                </c:pt>
                <c:pt idx="9">
                  <c:v>143.1</c:v>
                </c:pt>
                <c:pt idx="10">
                  <c:v>148.2</c:v>
                </c:pt>
              </c:numCache>
            </c:numRef>
          </c:val>
        </c:ser>
        <c:ser>
          <c:idx val="1"/>
          <c:order val="1"/>
          <c:tx>
            <c:v>Índice Volume</c:v>
          </c:tx>
          <c:spPr>
            <a:ln w="31750">
              <a:solidFill>
                <a:srgbClr val="C07028"/>
              </a:solidFill>
              <a:prstDash val="dash"/>
            </a:ln>
          </c:spPr>
          <c:marker>
            <c:symbol val="square"/>
            <c:size val="5"/>
            <c:spPr>
              <a:solidFill>
                <a:srgbClr val="C07028"/>
              </a:solidFill>
              <a:ln>
                <a:solidFill>
                  <a:srgbClr val="C07028"/>
                </a:solidFill>
              </a:ln>
            </c:spPr>
          </c:marker>
          <c:cat>
            <c:numRef>
              <c:f>'04 · Volume × Valor'!$B$4:$L$4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'04 · Volume × Valor'!$B$6:$L$6</c:f>
              <c:numCache>
                <c:formatCode>General</c:formatCode>
                <c:ptCount val="11"/>
                <c:pt idx="0">
                  <c:v>100</c:v>
                </c:pt>
                <c:pt idx="1">
                  <c:v>99.59999999999999</c:v>
                </c:pt>
                <c:pt idx="2">
                  <c:v>97.90000000000001</c:v>
                </c:pt>
                <c:pt idx="3">
                  <c:v>99.2</c:v>
                </c:pt>
                <c:pt idx="4">
                  <c:v>100.5</c:v>
                </c:pt>
                <c:pt idx="5">
                  <c:v>109.7</c:v>
                </c:pt>
                <c:pt idx="6">
                  <c:v>104.1</c:v>
                </c:pt>
                <c:pt idx="7">
                  <c:v>95.59999999999999</c:v>
                </c:pt>
                <c:pt idx="8">
                  <c:v>94.7</c:v>
                </c:pt>
                <c:pt idx="9">
                  <c:v>94.40000000000001</c:v>
                </c:pt>
                <c:pt idx="10">
                  <c:v>94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Índice (2015=100)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Preço Médio Retail por Categoria (USD/kg)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'05 · Preço por kg'!$A$5</c:f>
              <c:strCache>
                <c:ptCount val="1"/>
                <c:pt idx="0">
                  <c:v>Café Total</c:v>
                </c:pt>
              </c:strCache>
            </c:strRef>
          </c:tx>
          <c:spPr>
            <a:ln w="25400">
              <a:solidFill>
                <a:srgbClr val="2A5C2E"/>
              </a:solidFill>
            </a:ln>
          </c:spPr>
          <c:marker>
            <c:symbol val="circle"/>
            <c:size val="4"/>
            <c:spPr>
              <a:solidFill>
                <a:srgbClr val="2A5C2E"/>
              </a:solidFill>
              <a:ln>
                <a:solidFill>
                  <a:srgbClr val="2A5C2E"/>
                </a:solidFill>
              </a:ln>
            </c:spPr>
          </c:marker>
          <c:cat>
            <c:numRef>
              <c:f>'05 · Preço por kg'!$B$4:$L$4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'05 · Preço por kg'!$B$5:$L$5</c:f>
              <c:numCache>
                <c:formatCode>General</c:formatCode>
                <c:ptCount val="11"/>
                <c:pt idx="0">
                  <c:v>17.22</c:v>
                </c:pt>
                <c:pt idx="1">
                  <c:v>17.93</c:v>
                </c:pt>
                <c:pt idx="2">
                  <c:v>18.23</c:v>
                </c:pt>
                <c:pt idx="3">
                  <c:v>18.13</c:v>
                </c:pt>
                <c:pt idx="4">
                  <c:v>18</c:v>
                </c:pt>
                <c:pt idx="5">
                  <c:v>18.55</c:v>
                </c:pt>
                <c:pt idx="6">
                  <c:v>20.26</c:v>
                </c:pt>
                <c:pt idx="7">
                  <c:v>24.08</c:v>
                </c:pt>
                <c:pt idx="8">
                  <c:v>25.27</c:v>
                </c:pt>
                <c:pt idx="9">
                  <c:v>26.09</c:v>
                </c:pt>
                <c:pt idx="10">
                  <c:v>27.16</c:v>
                </c:pt>
              </c:numCache>
            </c:numRef>
          </c:val>
        </c:ser>
        <c:ser>
          <c:idx val="1"/>
          <c:order val="1"/>
          <c:tx>
            <c:strRef>
              <c:f>'05 · Preço por kg'!$A$6</c:f>
              <c:strCache>
                <c:ptCount val="1"/>
                <c:pt idx="0">
                  <c:v>Coffee Beans</c:v>
                </c:pt>
              </c:strCache>
            </c:strRef>
          </c:tx>
          <c:spPr>
            <a:ln w="25400">
              <a:solidFill>
                <a:srgbClr val="C07028"/>
              </a:solidFill>
            </a:ln>
          </c:spPr>
          <c:marker>
            <c:symbol val="circle"/>
            <c:size val="4"/>
            <c:spPr>
              <a:solidFill>
                <a:srgbClr val="C07028"/>
              </a:solidFill>
              <a:ln>
                <a:solidFill>
                  <a:srgbClr val="C07028"/>
                </a:solidFill>
              </a:ln>
            </c:spPr>
          </c:marker>
          <c:cat>
            <c:numRef>
              <c:f>'05 · Preço por kg'!$B$4:$L$4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'05 · Preço por kg'!$B$6:$L$6</c:f>
              <c:numCache>
                <c:formatCode>General</c:formatCode>
                <c:ptCount val="11"/>
                <c:pt idx="0">
                  <c:v>21.08</c:v>
                </c:pt>
                <c:pt idx="1">
                  <c:v>20.44</c:v>
                </c:pt>
                <c:pt idx="2">
                  <c:v>20.8</c:v>
                </c:pt>
                <c:pt idx="3">
                  <c:v>20.96</c:v>
                </c:pt>
                <c:pt idx="4">
                  <c:v>21.05</c:v>
                </c:pt>
                <c:pt idx="5">
                  <c:v>21.62</c:v>
                </c:pt>
                <c:pt idx="6">
                  <c:v>22.59</c:v>
                </c:pt>
                <c:pt idx="7">
                  <c:v>24.89</c:v>
                </c:pt>
                <c:pt idx="8">
                  <c:v>26.49</c:v>
                </c:pt>
                <c:pt idx="9">
                  <c:v>27.97</c:v>
                </c:pt>
                <c:pt idx="10">
                  <c:v>28.92</c:v>
                </c:pt>
              </c:numCache>
            </c:numRef>
          </c:val>
        </c:ser>
        <c:ser>
          <c:idx val="2"/>
          <c:order val="2"/>
          <c:tx>
            <c:strRef>
              <c:f>'05 · Preço por kg'!$A$7</c:f>
              <c:strCache>
                <c:ptCount val="1"/>
                <c:pt idx="0">
                  <c:v>Ground Coffee</c:v>
                </c:pt>
              </c:strCache>
            </c:strRef>
          </c:tx>
          <c:spPr>
            <a:ln w="25400">
              <a:solidFill>
                <a:srgbClr val="3A7A3E"/>
              </a:solidFill>
            </a:ln>
          </c:spPr>
          <c:marker>
            <c:symbol val="circle"/>
            <c:size val="4"/>
            <c:spPr>
              <a:solidFill>
                <a:srgbClr val="3A7A3E"/>
              </a:solidFill>
              <a:ln>
                <a:solidFill>
                  <a:srgbClr val="3A7A3E"/>
                </a:solidFill>
              </a:ln>
            </c:spPr>
          </c:marker>
          <c:cat>
            <c:numRef>
              <c:f>'05 · Preço por kg'!$B$4:$L$4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'05 · Preço por kg'!$B$7:$L$7</c:f>
              <c:numCache>
                <c:formatCode>General</c:formatCode>
                <c:ptCount val="11"/>
                <c:pt idx="0">
                  <c:v>16.31</c:v>
                </c:pt>
                <c:pt idx="1">
                  <c:v>17.11</c:v>
                </c:pt>
                <c:pt idx="2">
                  <c:v>17.43</c:v>
                </c:pt>
                <c:pt idx="3">
                  <c:v>17.33</c:v>
                </c:pt>
                <c:pt idx="4">
                  <c:v>17.19</c:v>
                </c:pt>
                <c:pt idx="5">
                  <c:v>17.77</c:v>
                </c:pt>
                <c:pt idx="6">
                  <c:v>19.51</c:v>
                </c:pt>
                <c:pt idx="7">
                  <c:v>23.38</c:v>
                </c:pt>
                <c:pt idx="8">
                  <c:v>24.46</c:v>
                </c:pt>
                <c:pt idx="9">
                  <c:v>25.14</c:v>
                </c:pt>
                <c:pt idx="10">
                  <c:v>26.14</c:v>
                </c:pt>
              </c:numCache>
            </c:numRef>
          </c:val>
        </c:ser>
        <c:ser>
          <c:idx val="3"/>
          <c:order val="3"/>
          <c:tx>
            <c:strRef>
              <c:f>'05 · Preço por kg'!$A$8</c:f>
              <c:strCache>
                <c:ptCount val="1"/>
                <c:pt idx="0">
                  <c:v>Pods</c:v>
                </c:pt>
              </c:strCache>
            </c:strRef>
          </c:tx>
          <c:spPr>
            <a:ln w="25400">
              <a:solidFill>
                <a:srgbClr val="1A3C7A"/>
              </a:solidFill>
            </a:ln>
          </c:spPr>
          <c:marker>
            <c:symbol val="circle"/>
            <c:size val="4"/>
            <c:spPr>
              <a:solidFill>
                <a:srgbClr val="1A3C7A"/>
              </a:solidFill>
              <a:ln>
                <a:solidFill>
                  <a:srgbClr val="1A3C7A"/>
                </a:solidFill>
              </a:ln>
            </c:spPr>
          </c:marker>
          <c:cat>
            <c:numRef>
              <c:f>'05 · Preço por kg'!$B$4:$L$4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'05 · Preço por kg'!$B$8:$L$8</c:f>
              <c:numCache>
                <c:formatCode>General</c:formatCode>
                <c:ptCount val="11"/>
                <c:pt idx="0">
                  <c:v>69.59999999999999</c:v>
                </c:pt>
                <c:pt idx="1">
                  <c:v>67.78</c:v>
                </c:pt>
                <c:pt idx="2">
                  <c:v>67.19</c:v>
                </c:pt>
                <c:pt idx="3">
                  <c:v>64.79000000000001</c:v>
                </c:pt>
                <c:pt idx="4">
                  <c:v>62.38</c:v>
                </c:pt>
                <c:pt idx="5">
                  <c:v>64.12</c:v>
                </c:pt>
                <c:pt idx="6">
                  <c:v>66.64</c:v>
                </c:pt>
                <c:pt idx="7">
                  <c:v>73.37</c:v>
                </c:pt>
                <c:pt idx="8">
                  <c:v>74.15000000000001</c:v>
                </c:pt>
                <c:pt idx="9">
                  <c:v>73.16</c:v>
                </c:pt>
                <c:pt idx="10">
                  <c:v>74.22</c:v>
                </c:pt>
              </c:numCache>
            </c:numRef>
          </c:val>
        </c:ser>
        <c:ser>
          <c:idx val="4"/>
          <c:order val="4"/>
          <c:tx>
            <c:strRef>
              <c:f>'05 · Preço por kg'!$A$9</c:f>
              <c:strCache>
                <c:ptCount val="1"/>
                <c:pt idx="0">
                  <c:v>Instant Coffee</c:v>
                </c:pt>
              </c:strCache>
            </c:strRef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  <c:spPr>
              <a:solidFill>
                <a:srgbClr val="888888"/>
              </a:solidFill>
              <a:ln>
                <a:solidFill>
                  <a:srgbClr val="888888"/>
                </a:solidFill>
              </a:ln>
            </c:spPr>
          </c:marker>
          <c:cat>
            <c:numRef>
              <c:f>'05 · Preço por kg'!$B$4:$L$4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'05 · Preço por kg'!$B$9:$L$9</c:f>
              <c:numCache>
                <c:formatCode>General</c:formatCode>
                <c:ptCount val="11"/>
                <c:pt idx="0">
                  <c:v>35.66</c:v>
                </c:pt>
                <c:pt idx="1">
                  <c:v>36.23</c:v>
                </c:pt>
                <c:pt idx="2">
                  <c:v>36.46</c:v>
                </c:pt>
                <c:pt idx="3">
                  <c:v>36.55</c:v>
                </c:pt>
                <c:pt idx="4">
                  <c:v>36.28</c:v>
                </c:pt>
                <c:pt idx="5">
                  <c:v>36.85</c:v>
                </c:pt>
                <c:pt idx="6">
                  <c:v>39.29</c:v>
                </c:pt>
                <c:pt idx="7">
                  <c:v>44.89</c:v>
                </c:pt>
                <c:pt idx="8">
                  <c:v>47.42</c:v>
                </c:pt>
                <c:pt idx="9">
                  <c:v>48.33</c:v>
                </c:pt>
                <c:pt idx="10">
                  <c:v>50.55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por kg</a:t>
                </a:r>
              </a:p>
            </c:rich>
          </c:tx>
          <c:layout/>
        </c:title>
        <c:numFmt formatCode="&quot;$&quot;0.0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r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Coffee Beans — Valor RSP (USD Mi) · Projeção até 2030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Valor RSP Histórico</c:v>
          </c:tx>
          <c:spPr>
            <a:solidFill>
              <a:srgbClr val="2A5C2E"/>
            </a:solidFill>
          </c:spPr>
          <c:cat>
            <c:numRef>
              <c:f>'06 · Coffee Beans'!$B$4:$L$4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'06 · Coffee Beans'!$B$5:$L$5</c:f>
              <c:numCache>
                <c:formatCode>General</c:formatCode>
                <c:ptCount val="11"/>
                <c:pt idx="0">
                  <c:v>1058.53</c:v>
                </c:pt>
                <c:pt idx="1">
                  <c:v>1068.71</c:v>
                </c:pt>
                <c:pt idx="2">
                  <c:v>1066.45</c:v>
                </c:pt>
                <c:pt idx="3">
                  <c:v>1101.46</c:v>
                </c:pt>
                <c:pt idx="4">
                  <c:v>1137.16</c:v>
                </c:pt>
                <c:pt idx="5">
                  <c:v>1298.86</c:v>
                </c:pt>
                <c:pt idx="6">
                  <c:v>1304.32</c:v>
                </c:pt>
                <c:pt idx="7">
                  <c:v>1363.05</c:v>
                </c:pt>
                <c:pt idx="8">
                  <c:v>1424.82</c:v>
                </c:pt>
                <c:pt idx="9">
                  <c:v>1519</c:v>
                </c:pt>
                <c:pt idx="10">
                  <c:v>1590.22</c:v>
                </c:pt>
              </c:numCache>
            </c:numRef>
          </c:val>
        </c:ser>
        <c:ser>
          <c:idx val="1"/>
          <c:order val="1"/>
          <c:tx>
            <c:v>Projeção 2026–2030</c:v>
          </c:tx>
          <c:spPr>
            <a:solidFill>
              <a:srgbClr val="AACBAD"/>
            </a:solidFill>
          </c:spPr>
          <c:cat>
            <c:numRef>
              <c:f>'06 · Coffee Beans'!$M$4:$Q$4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'06 · Coffee Beans'!$M$5:$Q$5</c:f>
              <c:numCache>
                <c:formatCode>General</c:formatCode>
                <c:ptCount val="5"/>
                <c:pt idx="0">
                  <c:v>1669.67</c:v>
                </c:pt>
                <c:pt idx="1">
                  <c:v>1751.1</c:v>
                </c:pt>
                <c:pt idx="2">
                  <c:v>1839.96</c:v>
                </c:pt>
                <c:pt idx="3">
                  <c:v>1932.98</c:v>
                </c:pt>
                <c:pt idx="4">
                  <c:v>2031.86</c:v>
                </c:pt>
              </c:numCache>
            </c:numRef>
          </c:val>
        </c:ser>
        <c:gapWidth val="50"/>
        <c:axId val="50070001"/>
        <c:axId val="50070002"/>
      </c:barChart>
      <c:catAx>
        <c:axId val="5007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Milhões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Coffee Beans — Preço Médio Retail (USD/kg)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Preço Coffee Beans (USD/kg)</c:v>
          </c:tx>
          <c:spPr>
            <a:ln w="31750">
              <a:solidFill>
                <a:srgbClr val="C07028"/>
              </a:solidFill>
            </a:ln>
          </c:spPr>
          <c:marker>
            <c:symbol val="circle"/>
            <c:size val="5"/>
            <c:spPr>
              <a:solidFill>
                <a:srgbClr val="C07028"/>
              </a:solidFill>
              <a:ln>
                <a:solidFill>
                  <a:srgbClr val="C07028"/>
                </a:solidFill>
              </a:ln>
            </c:spPr>
          </c:marker>
          <c:cat>
            <c:numRef>
              <c:f>'06 · Coffee Beans'!$B$4:$Q$4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cat>
          <c:val>
            <c:numRef>
              <c:f>'06 · Coffee Beans'!$B$7:$Q$7</c:f>
              <c:numCache>
                <c:formatCode>General</c:formatCode>
                <c:ptCount val="16"/>
                <c:pt idx="0">
                  <c:v>21.08</c:v>
                </c:pt>
                <c:pt idx="1">
                  <c:v>20.44</c:v>
                </c:pt>
                <c:pt idx="2">
                  <c:v>20.8</c:v>
                </c:pt>
                <c:pt idx="3">
                  <c:v>20.96</c:v>
                </c:pt>
                <c:pt idx="4">
                  <c:v>21.05</c:v>
                </c:pt>
                <c:pt idx="5">
                  <c:v>21.62</c:v>
                </c:pt>
                <c:pt idx="6">
                  <c:v>22.59</c:v>
                </c:pt>
                <c:pt idx="7">
                  <c:v>24.89</c:v>
                </c:pt>
                <c:pt idx="8">
                  <c:v>26.49</c:v>
                </c:pt>
                <c:pt idx="9">
                  <c:v>27.97</c:v>
                </c:pt>
                <c:pt idx="10">
                  <c:v>28.92</c:v>
                </c:pt>
                <c:pt idx="11">
                  <c:v>29.18</c:v>
                </c:pt>
                <c:pt idx="12">
                  <c:v>29.5</c:v>
                </c:pt>
                <c:pt idx="13">
                  <c:v>29.77</c:v>
                </c:pt>
                <c:pt idx="14">
                  <c:v>30</c:v>
                </c:pt>
                <c:pt idx="15">
                  <c:v>30.31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USD/kg</a:t>
                </a:r>
              </a:p>
            </c:rich>
          </c:tx>
          <c:layout/>
        </c:title>
        <c:numFmt formatCode="&quot;$&quot;0.0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Participação por Canal de Venda — % Volume Retail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'07 · Canais'!$A$5</c:f>
              <c:strCache>
                <c:ptCount val="1"/>
                <c:pt idx="0">
                  <c:v>Retail Online (E-commerce)</c:v>
                </c:pt>
              </c:strCache>
            </c:strRef>
          </c:tx>
          <c:spPr>
            <a:ln w="31750">
              <a:solidFill>
                <a:srgbClr val="2A5C2E"/>
              </a:solidFill>
            </a:ln>
          </c:spPr>
          <c:marker>
            <c:symbol val="circle"/>
            <c:size val="5"/>
            <c:spPr>
              <a:solidFill>
                <a:srgbClr val="2A5C2E"/>
              </a:solidFill>
              <a:ln>
                <a:solidFill>
                  <a:srgbClr val="2A5C2E"/>
                </a:solidFill>
              </a:ln>
            </c:spPr>
          </c:marker>
          <c:cat>
            <c:numRef>
              <c:f>'07 · Canais'!$B$4:$L$4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'07 · Canais'!$B$5:$L$5</c:f>
              <c:numCache>
                <c:formatCode>General</c:formatCode>
                <c:ptCount val="11"/>
                <c:pt idx="0">
                  <c:v>6.17</c:v>
                </c:pt>
                <c:pt idx="1">
                  <c:v>6.48</c:v>
                </c:pt>
                <c:pt idx="2">
                  <c:v>6.94</c:v>
                </c:pt>
                <c:pt idx="3">
                  <c:v>7.86</c:v>
                </c:pt>
                <c:pt idx="4">
                  <c:v>9.77</c:v>
                </c:pt>
                <c:pt idx="5">
                  <c:v>17.88</c:v>
                </c:pt>
                <c:pt idx="6">
                  <c:v>18.99</c:v>
                </c:pt>
                <c:pt idx="7">
                  <c:v>21.44</c:v>
                </c:pt>
                <c:pt idx="8">
                  <c:v>22.98</c:v>
                </c:pt>
                <c:pt idx="9">
                  <c:v>26.7</c:v>
                </c:pt>
                <c:pt idx="10">
                  <c:v>28.09</c:v>
                </c:pt>
              </c:numCache>
            </c:numRef>
          </c:val>
        </c:ser>
        <c:ser>
          <c:idx val="1"/>
          <c:order val="1"/>
          <c:tx>
            <c:strRef>
              <c:f>'07 · Canais'!$A$6</c:f>
              <c:strCache>
                <c:ptCount val="1"/>
                <c:pt idx="0">
                  <c:v>Grocery Retailers</c:v>
                </c:pt>
              </c:strCache>
            </c:strRef>
          </c:tx>
          <c:spPr>
            <a:ln w="31750">
              <a:solidFill>
                <a:srgbClr val="C07028"/>
              </a:solidFill>
            </a:ln>
          </c:spPr>
          <c:marker>
            <c:symbol val="circle"/>
            <c:size val="5"/>
            <c:spPr>
              <a:solidFill>
                <a:srgbClr val="C07028"/>
              </a:solidFill>
              <a:ln>
                <a:solidFill>
                  <a:srgbClr val="C07028"/>
                </a:solidFill>
              </a:ln>
            </c:spPr>
          </c:marker>
          <c:cat>
            <c:numRef>
              <c:f>'07 · Canais'!$B$4:$L$4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'07 · Canais'!$B$6:$L$6</c:f>
              <c:numCache>
                <c:formatCode>General</c:formatCode>
                <c:ptCount val="11"/>
                <c:pt idx="0">
                  <c:v>91.44</c:v>
                </c:pt>
                <c:pt idx="1">
                  <c:v>91.18000000000001</c:v>
                </c:pt>
                <c:pt idx="2">
                  <c:v>90.73999999999999</c:v>
                </c:pt>
                <c:pt idx="3">
                  <c:v>89.84</c:v>
                </c:pt>
                <c:pt idx="4">
                  <c:v>87.94</c:v>
                </c:pt>
                <c:pt idx="5">
                  <c:v>80.18000000000001</c:v>
                </c:pt>
                <c:pt idx="6">
                  <c:v>78.98999999999999</c:v>
                </c:pt>
                <c:pt idx="7">
                  <c:v>76.65000000000001</c:v>
                </c:pt>
                <c:pt idx="8">
                  <c:v>75.11</c:v>
                </c:pt>
                <c:pt idx="9">
                  <c:v>71.55</c:v>
                </c:pt>
                <c:pt idx="10">
                  <c:v>70.27</c:v>
                </c:pt>
              </c:numCache>
            </c:numRef>
          </c:val>
        </c:ser>
        <c:ser>
          <c:idx val="2"/>
          <c:order val="2"/>
          <c:tx>
            <c:strRef>
              <c:f>'07 · Canais'!$A$7</c:f>
              <c:strCache>
                <c:ptCount val="1"/>
                <c:pt idx="0">
                  <c:v>Retail Offline Total</c:v>
                </c:pt>
              </c:strCache>
            </c:strRef>
          </c:tx>
          <c:spPr>
            <a:ln w="31750">
              <a:solidFill>
                <a:srgbClr val="1A3C7A"/>
              </a:solidFill>
            </a:ln>
          </c:spPr>
          <c:marker>
            <c:symbol val="circle"/>
            <c:size val="5"/>
            <c:spPr>
              <a:solidFill>
                <a:srgbClr val="1A3C7A"/>
              </a:solidFill>
              <a:ln>
                <a:solidFill>
                  <a:srgbClr val="1A3C7A"/>
                </a:solidFill>
              </a:ln>
            </c:spPr>
          </c:marker>
          <c:cat>
            <c:numRef>
              <c:f>'07 · Canais'!$B$4:$L$4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'07 · Canais'!$B$7:$L$7</c:f>
              <c:numCache>
                <c:formatCode>General</c:formatCode>
                <c:ptCount val="11"/>
                <c:pt idx="0">
                  <c:v>93.83</c:v>
                </c:pt>
                <c:pt idx="1">
                  <c:v>93.52</c:v>
                </c:pt>
                <c:pt idx="2">
                  <c:v>93.06</c:v>
                </c:pt>
                <c:pt idx="3">
                  <c:v>92.14</c:v>
                </c:pt>
                <c:pt idx="4">
                  <c:v>90.23</c:v>
                </c:pt>
                <c:pt idx="5">
                  <c:v>82.12</c:v>
                </c:pt>
                <c:pt idx="6">
                  <c:v>81.01000000000001</c:v>
                </c:pt>
                <c:pt idx="7">
                  <c:v>78.56</c:v>
                </c:pt>
                <c:pt idx="8">
                  <c:v>77.02</c:v>
                </c:pt>
                <c:pt idx="9">
                  <c:v>73.3</c:v>
                </c:pt>
                <c:pt idx="10">
                  <c:v>71.91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de Volume Retail</a:t>
                </a:r>
              </a:p>
            </c:rich>
          </c:tx>
          <c:layout/>
        </c:title>
        <c:numFmt formatCode="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Volume Online × Offline (mil toneladas)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Offline (mil t)</c:v>
          </c:tx>
          <c:spPr>
            <a:solidFill>
              <a:srgbClr val="CCCCCC"/>
            </a:solidFill>
          </c:spPr>
          <c:cat>
            <c:numRef>
              <c:f>'08 · E-commerce'!$B$4:$L$4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'08 · E-commerce'!$B$6:$L$6</c:f>
              <c:numCache>
                <c:formatCode>General</c:formatCode>
                <c:ptCount val="11"/>
                <c:pt idx="0">
                  <c:v>93.83</c:v>
                </c:pt>
                <c:pt idx="1">
                  <c:v>93.52</c:v>
                </c:pt>
                <c:pt idx="2">
                  <c:v>93.06</c:v>
                </c:pt>
                <c:pt idx="3">
                  <c:v>92.14</c:v>
                </c:pt>
                <c:pt idx="4">
                  <c:v>90.23</c:v>
                </c:pt>
                <c:pt idx="5">
                  <c:v>82.12</c:v>
                </c:pt>
                <c:pt idx="6">
                  <c:v>81.01000000000001</c:v>
                </c:pt>
                <c:pt idx="7">
                  <c:v>78.56</c:v>
                </c:pt>
                <c:pt idx="8">
                  <c:v>77.02</c:v>
                </c:pt>
                <c:pt idx="9">
                  <c:v>73.3</c:v>
                </c:pt>
                <c:pt idx="10">
                  <c:v>71.91</c:v>
                </c:pt>
              </c:numCache>
            </c:numRef>
          </c:val>
        </c:ser>
        <c:ser>
          <c:idx val="1"/>
          <c:order val="1"/>
          <c:tx>
            <c:v>Online / E-commerce (mil t)</c:v>
          </c:tx>
          <c:spPr>
            <a:solidFill>
              <a:srgbClr val="2A5C2E"/>
            </a:solidFill>
          </c:spPr>
          <c:cat>
            <c:numRef>
              <c:f>'08 · E-commerce'!$B$4:$L$4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'08 · E-commerce'!$B$7:$L$7</c:f>
              <c:numCache>
                <c:formatCode>General</c:formatCode>
                <c:ptCount val="11"/>
                <c:pt idx="0">
                  <c:v>48.3</c:v>
                </c:pt>
                <c:pt idx="1">
                  <c:v>50.5</c:v>
                </c:pt>
                <c:pt idx="2">
                  <c:v>53.1</c:v>
                </c:pt>
                <c:pt idx="3">
                  <c:v>61</c:v>
                </c:pt>
                <c:pt idx="4">
                  <c:v>76.8</c:v>
                </c:pt>
                <c:pt idx="5">
                  <c:v>153.5</c:v>
                </c:pt>
                <c:pt idx="6">
                  <c:v>154.7</c:v>
                </c:pt>
                <c:pt idx="7">
                  <c:v>160.4</c:v>
                </c:pt>
                <c:pt idx="8">
                  <c:v>170.3</c:v>
                </c:pt>
                <c:pt idx="9">
                  <c:v>197.3</c:v>
                </c:pt>
                <c:pt idx="10">
                  <c:v>206.5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 Toneladas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Penetração do E-commerce (% Volume)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% Online do Volume Retail</c:v>
          </c:tx>
          <c:spPr>
            <a:ln w="31750">
              <a:solidFill>
                <a:srgbClr val="2A5C2E"/>
              </a:solidFill>
            </a:ln>
          </c:spPr>
          <c:marker>
            <c:symbol val="circle"/>
            <c:size val="5"/>
            <c:spPr>
              <a:solidFill>
                <a:srgbClr val="2A5C2E"/>
              </a:solidFill>
              <a:ln>
                <a:solidFill>
                  <a:srgbClr val="2A5C2E"/>
                </a:solidFill>
              </a:ln>
            </c:spPr>
          </c:marker>
          <c:dLbls>
            <c:numFmt formatCode="0&quot;%&quot;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dLblPos val="t"/>
            <c:showVal val="1"/>
          </c:dLbls>
          <c:cat>
            <c:numRef>
              <c:f>'08 · E-commerce'!$B$4:$L$4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'08 · E-commerce'!$B$5:$L$5</c:f>
              <c:numCache>
                <c:formatCode>General</c:formatCode>
                <c:ptCount val="11"/>
                <c:pt idx="0">
                  <c:v>6.17</c:v>
                </c:pt>
                <c:pt idx="1">
                  <c:v>6.48</c:v>
                </c:pt>
                <c:pt idx="2">
                  <c:v>6.94</c:v>
                </c:pt>
                <c:pt idx="3">
                  <c:v>7.86</c:v>
                </c:pt>
                <c:pt idx="4">
                  <c:v>9.77</c:v>
                </c:pt>
                <c:pt idx="5">
                  <c:v>17.88</c:v>
                </c:pt>
                <c:pt idx="6">
                  <c:v>18.99</c:v>
                </c:pt>
                <c:pt idx="7">
                  <c:v>21.44</c:v>
                </c:pt>
                <c:pt idx="8">
                  <c:v>22.98</c:v>
                </c:pt>
                <c:pt idx="9">
                  <c:v>26.7</c:v>
                </c:pt>
                <c:pt idx="10">
                  <c:v>28.09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Volume Retail</a:t>
                </a:r>
              </a:p>
            </c:rich>
          </c:tx>
          <c:layout/>
        </c:title>
        <c:numFmt formatCode="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Top 7 Empresas — Share Volume Retail 2025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Share 2025 (%)</c:v>
          </c:tx>
          <c:spPr>
            <a:solidFill>
              <a:srgbClr val="2A5C2E"/>
            </a:solidFill>
          </c:spPr>
          <c:dLbls>
            <c:numFmt formatCode="0.0&quot;%&quot;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'09 · Empresas Top 7'!$A$5:$A$13</c:f>
              <c:strCache>
                <c:ptCount val="9"/>
                <c:pt idx="0">
                  <c:v>JM Smucker Co, The</c:v>
                </c:pt>
                <c:pt idx="1">
                  <c:v>Private Label</c:v>
                </c:pt>
                <c:pt idx="2">
                  <c:v>Kraft Heinz Co</c:v>
                </c:pt>
                <c:pt idx="3">
                  <c:v>Keurig Dr Pepper Inc</c:v>
                </c:pt>
                <c:pt idx="4">
                  <c:v>Nestlé USA Inc</c:v>
                </c:pt>
                <c:pt idx="5">
                  <c:v>Community Coffee Co LLC</c:v>
                </c:pt>
                <c:pt idx="6">
                  <c:v>Eight O'Clock Coffee Co</c:v>
                </c:pt>
                <c:pt idx="7">
                  <c:v>Massimo Zanetti Beverage USA</c:v>
                </c:pt>
                <c:pt idx="8">
                  <c:v>Black Rifle Coffee Co</c:v>
                </c:pt>
              </c:strCache>
            </c:strRef>
          </c:cat>
          <c:val>
            <c:numRef>
              <c:f>'09 · Empresas Top 7'!$G$5:$G$13</c:f>
              <c:numCache>
                <c:formatCode>General</c:formatCode>
                <c:ptCount val="9"/>
                <c:pt idx="0">
                  <c:v>18.83</c:v>
                </c:pt>
                <c:pt idx="1">
                  <c:v>14.38</c:v>
                </c:pt>
                <c:pt idx="2">
                  <c:v>7.19</c:v>
                </c:pt>
                <c:pt idx="3">
                  <c:v>6.91</c:v>
                </c:pt>
                <c:pt idx="4">
                  <c:v>6.33</c:v>
                </c:pt>
                <c:pt idx="5">
                  <c:v>2.44</c:v>
                </c:pt>
                <c:pt idx="6">
                  <c:v>2.44</c:v>
                </c:pt>
                <c:pt idx="7">
                  <c:v>2.22</c:v>
                </c:pt>
                <c:pt idx="8">
                  <c:v>1.61</c:v>
                </c:pt>
              </c:numCache>
            </c:numRef>
          </c:val>
        </c:ser>
        <c:gapWidth val="80"/>
        <c:axId val="50120001"/>
        <c:axId val="50120002"/>
      </c:barChart>
      <c:catAx>
        <c:axId val="5012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Volume Retail</a:t>
                </a:r>
              </a:p>
            </c:rich>
          </c:tx>
          <c:layout/>
        </c:title>
        <c:numFmt formatCode="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2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Evolução Share Top 3 (2020–2025)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'09 · Empresas Top 7'!$A$5</c:f>
              <c:strCache>
                <c:ptCount val="1"/>
                <c:pt idx="0">
                  <c:v>JM Smucker Co, The</c:v>
                </c:pt>
              </c:strCache>
            </c:strRef>
          </c:tx>
          <c:spPr>
            <a:ln w="31750">
              <a:solidFill>
                <a:srgbClr val="2A5C2E"/>
              </a:solidFill>
            </a:ln>
          </c:spPr>
          <c:marker>
            <c:symbol val="circle"/>
            <c:size val="5"/>
            <c:spPr>
              <a:solidFill>
                <a:srgbClr val="2A5C2E"/>
              </a:solidFill>
              <a:ln>
                <a:solidFill>
                  <a:srgbClr val="2A5C2E"/>
                </a:solidFill>
              </a:ln>
            </c:spPr>
          </c:marker>
          <c:cat>
            <c:numRef>
              <c:f>'09 · Empresas Top 7'!$B$4:$G$4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'09 · Empresas Top 7'!$B$5:$G$5</c:f>
              <c:numCache>
                <c:formatCode>General</c:formatCode>
                <c:ptCount val="6"/>
                <c:pt idx="0">
                  <c:v>20.7</c:v>
                </c:pt>
                <c:pt idx="1">
                  <c:v>18.63</c:v>
                </c:pt>
                <c:pt idx="2">
                  <c:v>17.66</c:v>
                </c:pt>
                <c:pt idx="3">
                  <c:v>17.62</c:v>
                </c:pt>
                <c:pt idx="4">
                  <c:v>17.62</c:v>
                </c:pt>
                <c:pt idx="5">
                  <c:v>18.83</c:v>
                </c:pt>
              </c:numCache>
            </c:numRef>
          </c:val>
        </c:ser>
        <c:ser>
          <c:idx val="1"/>
          <c:order val="1"/>
          <c:tx>
            <c:strRef>
              <c:f>'09 · Empresas Top 7'!$A$6</c:f>
              <c:strCache>
                <c:ptCount val="1"/>
                <c:pt idx="0">
                  <c:v>Private Label</c:v>
                </c:pt>
              </c:strCache>
            </c:strRef>
          </c:tx>
          <c:spPr>
            <a:ln w="31750">
              <a:solidFill>
                <a:srgbClr val="C07028"/>
              </a:solidFill>
            </a:ln>
          </c:spPr>
          <c:marker>
            <c:symbol val="circle"/>
            <c:size val="5"/>
            <c:spPr>
              <a:solidFill>
                <a:srgbClr val="C07028"/>
              </a:solidFill>
              <a:ln>
                <a:solidFill>
                  <a:srgbClr val="C07028"/>
                </a:solidFill>
              </a:ln>
            </c:spPr>
          </c:marker>
          <c:cat>
            <c:numRef>
              <c:f>'09 · Empresas Top 7'!$B$4:$G$4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'09 · Empresas Top 7'!$B$6:$G$6</c:f>
              <c:numCache>
                <c:formatCode>General</c:formatCode>
                <c:ptCount val="6"/>
                <c:pt idx="0">
                  <c:v>13.01</c:v>
                </c:pt>
                <c:pt idx="1">
                  <c:v>12.97</c:v>
                </c:pt>
                <c:pt idx="2">
                  <c:v>14.31</c:v>
                </c:pt>
                <c:pt idx="3">
                  <c:v>14.18</c:v>
                </c:pt>
                <c:pt idx="4">
                  <c:v>14.06</c:v>
                </c:pt>
                <c:pt idx="5">
                  <c:v>14.38</c:v>
                </c:pt>
              </c:numCache>
            </c:numRef>
          </c:val>
        </c:ser>
        <c:ser>
          <c:idx val="2"/>
          <c:order val="2"/>
          <c:tx>
            <c:strRef>
              <c:f>'09 · Empresas Top 7'!$A$7</c:f>
              <c:strCache>
                <c:ptCount val="1"/>
                <c:pt idx="0">
                  <c:v>Kraft Heinz Co</c:v>
                </c:pt>
              </c:strCache>
            </c:strRef>
          </c:tx>
          <c:spPr>
            <a:ln w="31750">
              <a:solidFill>
                <a:srgbClr val="1A3C7A"/>
              </a:solidFill>
            </a:ln>
          </c:spPr>
          <c:marker>
            <c:symbol val="circle"/>
            <c:size val="5"/>
            <c:spPr>
              <a:solidFill>
                <a:srgbClr val="1A3C7A"/>
              </a:solidFill>
              <a:ln>
                <a:solidFill>
                  <a:srgbClr val="1A3C7A"/>
                </a:solidFill>
              </a:ln>
            </c:spPr>
          </c:marker>
          <c:cat>
            <c:numRef>
              <c:f>'09 · Empresas Top 7'!$B$4:$G$4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'09 · Empresas Top 7'!$B$7:$G$7</c:f>
              <c:numCache>
                <c:formatCode>General</c:formatCode>
                <c:ptCount val="6"/>
                <c:pt idx="0">
                  <c:v>7.99</c:v>
                </c:pt>
                <c:pt idx="1">
                  <c:v>7.08</c:v>
                </c:pt>
                <c:pt idx="2">
                  <c:v>7.02</c:v>
                </c:pt>
                <c:pt idx="3">
                  <c:v>7</c:v>
                </c:pt>
                <c:pt idx="4">
                  <c:v>7.01</c:v>
                </c:pt>
                <c:pt idx="5">
                  <c:v>7.19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Volume Retail</a:t>
                </a:r>
              </a:p>
            </c:rich>
          </c:tx>
          <c:layout/>
        </c:title>
        <c:numFmt formatCode="0.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3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Top 8 Marcas — Share Volume Retail 2020 × 2025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Share 2025 (%)</c:v>
          </c:tx>
          <c:spPr>
            <a:solidFill>
              <a:srgbClr val="C07028"/>
            </a:solidFill>
          </c:spPr>
          <c:dLbls>
            <c:numFmt formatCode="0.0&quot;%&quot;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'10 · Marcas Top 8'!$A$5:$A$13</c:f>
              <c:strCache>
                <c:ptCount val="9"/>
                <c:pt idx="0">
                  <c:v>Folgers</c:v>
                </c:pt>
                <c:pt idx="1">
                  <c:v>Maxwell House</c:v>
                </c:pt>
                <c:pt idx="2">
                  <c:v>Starbucks</c:v>
                </c:pt>
                <c:pt idx="3">
                  <c:v>Dunkin' Donuts</c:v>
                </c:pt>
                <c:pt idx="4">
                  <c:v>Community Coffee</c:v>
                </c:pt>
                <c:pt idx="5">
                  <c:v>Eight O'Clock</c:v>
                </c:pt>
                <c:pt idx="6">
                  <c:v>Peet's Coffee</c:v>
                </c:pt>
                <c:pt idx="7">
                  <c:v>Hills Bros</c:v>
                </c:pt>
                <c:pt idx="8">
                  <c:v>Black Rifle</c:v>
                </c:pt>
              </c:strCache>
            </c:strRef>
          </c:cat>
          <c:val>
            <c:numRef>
              <c:f>'10 · Marcas Top 8'!$G$5:$G$13</c:f>
              <c:numCache>
                <c:formatCode>General</c:formatCode>
                <c:ptCount val="9"/>
                <c:pt idx="0">
                  <c:v>13.38</c:v>
                </c:pt>
                <c:pt idx="1">
                  <c:v>5.63</c:v>
                </c:pt>
                <c:pt idx="2">
                  <c:v>5.39</c:v>
                </c:pt>
                <c:pt idx="3">
                  <c:v>2.71</c:v>
                </c:pt>
                <c:pt idx="4">
                  <c:v>2.34</c:v>
                </c:pt>
                <c:pt idx="5">
                  <c:v>2.33</c:v>
                </c:pt>
                <c:pt idx="6">
                  <c:v>1.42</c:v>
                </c:pt>
                <c:pt idx="7">
                  <c:v>1.32</c:v>
                </c:pt>
                <c:pt idx="8">
                  <c:v>1.24</c:v>
                </c:pt>
              </c:numCache>
            </c:numRef>
          </c:val>
        </c:ser>
        <c:ser>
          <c:idx val="1"/>
          <c:order val="1"/>
          <c:tx>
            <c:v>Share 2020 (%)</c:v>
          </c:tx>
          <c:spPr>
            <a:solidFill>
              <a:srgbClr val="CCCCCC"/>
            </a:solidFill>
          </c:spPr>
          <c:cat>
            <c:strRef>
              <c:f>'10 · Marcas Top 8'!$A$5:$A$13</c:f>
              <c:strCache>
                <c:ptCount val="9"/>
                <c:pt idx="0">
                  <c:v>Folgers</c:v>
                </c:pt>
                <c:pt idx="1">
                  <c:v>Maxwell House</c:v>
                </c:pt>
                <c:pt idx="2">
                  <c:v>Starbucks</c:v>
                </c:pt>
                <c:pt idx="3">
                  <c:v>Dunkin' Donuts</c:v>
                </c:pt>
                <c:pt idx="4">
                  <c:v>Community Coffee</c:v>
                </c:pt>
                <c:pt idx="5">
                  <c:v>Eight O'Clock</c:v>
                </c:pt>
                <c:pt idx="6">
                  <c:v>Peet's Coffee</c:v>
                </c:pt>
                <c:pt idx="7">
                  <c:v>Hills Bros</c:v>
                </c:pt>
                <c:pt idx="8">
                  <c:v>Black Rifle</c:v>
                </c:pt>
              </c:strCache>
            </c:strRef>
          </c:cat>
          <c:val>
            <c:numRef>
              <c:f>'10 · Marcas Top 8'!$B$5:$B$13</c:f>
              <c:numCache>
                <c:formatCode>General</c:formatCode>
                <c:ptCount val="9"/>
                <c:pt idx="0">
                  <c:v>19.46</c:v>
                </c:pt>
                <c:pt idx="1">
                  <c:v>8.51</c:v>
                </c:pt>
                <c:pt idx="2">
                  <c:v>0</c:v>
                </c:pt>
                <c:pt idx="3">
                  <c:v>0</c:v>
                </c:pt>
                <c:pt idx="4">
                  <c:v>2.54</c:v>
                </c:pt>
                <c:pt idx="5">
                  <c:v>0</c:v>
                </c:pt>
                <c:pt idx="6">
                  <c:v>0</c:v>
                </c:pt>
                <c:pt idx="7">
                  <c:v>1.33</c:v>
                </c:pt>
                <c:pt idx="8">
                  <c:v>0.16</c:v>
                </c:pt>
              </c:numCache>
            </c:numRef>
          </c:val>
        </c:ser>
        <c:gapWidth val="80"/>
        <c:axId val="50140001"/>
        <c:axId val="50140002"/>
      </c:barChart>
      <c:catAx>
        <c:axId val="5014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Volume Retail</a:t>
                </a:r>
              </a:p>
            </c:rich>
          </c:tx>
          <c:layout/>
        </c:title>
        <c:numFmt formatCode="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40001"/>
        <c:crosses val="autoZero"/>
        <c:crossBetween val="between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D2D2D"/>
                </a:solidFill>
              </a:defRPr>
            </a:pPr>
            <a:r>
              <a:rPr lang="en-US" sz="1100" b="1" baseline="0">
                <a:solidFill>
                  <a:srgbClr val="2D2D2D"/>
                </a:solidFill>
              </a:rPr>
              <a:t>Matriz: Valor 2025 × CAGR 2020–2025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Coffee Beans</c:v>
          </c:tx>
          <c:spPr>
            <a:ln>
              <a:noFill/>
            </a:ln>
          </c:spPr>
          <c:marker>
            <c:symbol val="circle"/>
            <c:size val="12"/>
            <c:spPr>
              <a:solidFill>
                <a:srgbClr val="2A5C2E"/>
              </a:solidFill>
              <a:ln>
                <a:solidFill>
                  <a:srgbClr val="2A5C2E"/>
                </a:solidFill>
              </a:ln>
            </c:spPr>
          </c:marker>
          <c:xVal>
            <c:numRef>
              <c:f>'11 · Oportunidade'!$C$5</c:f>
              <c:numCache>
                <c:formatCode>General</c:formatCode>
                <c:ptCount val="1"/>
                <c:pt idx="0">
                  <c:v>4.1</c:v>
                </c:pt>
              </c:numCache>
            </c:numRef>
          </c:xVal>
          <c:yVal>
            <c:numRef>
              <c:f>'11 · Oportunidade'!$B$5</c:f>
              <c:numCache>
                <c:formatCode>General</c:formatCode>
                <c:ptCount val="1"/>
                <c:pt idx="0">
                  <c:v>1590</c:v>
                </c:pt>
              </c:numCache>
            </c:numRef>
          </c:yVal>
        </c:ser>
        <c:ser>
          <c:idx val="1"/>
          <c:order val="1"/>
          <c:tx>
            <c:v>Ground Coffee</c:v>
          </c:tx>
          <c:spPr>
            <a:ln>
              <a:noFill/>
            </a:ln>
          </c:spPr>
          <c:marker>
            <c:symbol val="circle"/>
            <c:size val="14"/>
            <c:spPr>
              <a:solidFill>
                <a:srgbClr val="3A7A3E"/>
              </a:solidFill>
              <a:ln>
                <a:solidFill>
                  <a:srgbClr val="3A7A3E"/>
                </a:solidFill>
              </a:ln>
            </c:spPr>
          </c:marker>
          <c:xVal>
            <c:numRef>
              <c:f>'11 · Oportunidade'!$C$6</c:f>
              <c:numCache>
                <c:formatCode>General</c:formatCode>
                <c:ptCount val="1"/>
                <c:pt idx="0">
                  <c:v>4.4</c:v>
                </c:pt>
              </c:numCache>
            </c:numRef>
          </c:xVal>
          <c:yVal>
            <c:numRef>
              <c:f>'11 · Oportunidade'!$B$6</c:f>
              <c:numCache>
                <c:formatCode>General</c:formatCode>
                <c:ptCount val="1"/>
                <c:pt idx="0">
                  <c:v>17136</c:v>
                </c:pt>
              </c:numCache>
            </c:numRef>
          </c:yVal>
        </c:ser>
        <c:ser>
          <c:idx val="2"/>
          <c:order val="2"/>
          <c:tx>
            <c:v>Coffee Pods</c:v>
          </c:tx>
          <c:spPr>
            <a:ln>
              <a:noFill/>
            </a:ln>
          </c:spPr>
          <c:marker>
            <c:symbol val="circle"/>
            <c:size val="16"/>
            <c:spPr>
              <a:solidFill>
                <a:srgbClr val="C07028"/>
              </a:solidFill>
              <a:ln>
                <a:solidFill>
                  <a:srgbClr val="C07028"/>
                </a:solidFill>
              </a:ln>
            </c:spPr>
          </c:marker>
          <c:xVal>
            <c:numRef>
              <c:f>'11 · Oportunidade'!$C$7</c:f>
              <c:numCache>
                <c:formatCode>General</c:formatCode>
                <c:ptCount val="1"/>
                <c:pt idx="0">
                  <c:v>4.1</c:v>
                </c:pt>
              </c:numCache>
            </c:numRef>
          </c:xVal>
          <c:yVal>
            <c:numRef>
              <c:f>'11 · Oportunidade'!$B$7</c:f>
              <c:numCache>
                <c:formatCode>General</c:formatCode>
                <c:ptCount val="1"/>
                <c:pt idx="0">
                  <c:v>7823</c:v>
                </c:pt>
              </c:numCache>
            </c:numRef>
          </c:yVal>
        </c:ser>
        <c:ser>
          <c:idx val="3"/>
          <c:order val="3"/>
          <c:tx>
            <c:v>Instant Coffee</c:v>
          </c:tx>
          <c:spPr>
            <a:ln>
              <a:noFill/>
            </a:ln>
          </c:spPr>
          <c:marker>
            <c:symbol val="circle"/>
            <c:size val="18"/>
            <c:spPr>
              <a:solidFill>
                <a:srgbClr val="1A3C7A"/>
              </a:solidFill>
              <a:ln>
                <a:solidFill>
                  <a:srgbClr val="1A3C7A"/>
                </a:solidFill>
              </a:ln>
            </c:spPr>
          </c:marker>
          <c:xVal>
            <c:numRef>
              <c:f>'11 · Oportunidade'!$C$8</c:f>
              <c:numCache>
                <c:formatCode>General</c:formatCode>
                <c:ptCount val="1"/>
                <c:pt idx="0">
                  <c:v>8.199999999999999</c:v>
                </c:pt>
              </c:numCache>
            </c:numRef>
          </c:xVal>
          <c:yVal>
            <c:numRef>
              <c:f>'11 · Oportunidade'!$B$8</c:f>
              <c:numCache>
                <c:formatCode>General</c:formatCode>
                <c:ptCount val="1"/>
                <c:pt idx="0">
                  <c:v>1244</c:v>
                </c:pt>
              </c:numCache>
            </c:numRef>
          </c:yVal>
        </c:ser>
        <c:ser>
          <c:idx val="4"/>
          <c:order val="4"/>
          <c:tx>
            <c:v>Standard Ground</c:v>
          </c:tx>
          <c:spPr>
            <a:ln>
              <a:noFill/>
            </a:ln>
          </c:spPr>
          <c:marker>
            <c:symbol val="circle"/>
            <c:size val="20"/>
            <c:spPr>
              <a:solidFill>
                <a:srgbClr val="888888"/>
              </a:solidFill>
              <a:ln>
                <a:solidFill>
                  <a:srgbClr val="888888"/>
                </a:solidFill>
              </a:ln>
            </c:spPr>
          </c:marker>
          <c:xVal>
            <c:numRef>
              <c:f>'11 · Oportunidade'!$C$9</c:f>
              <c:numCache>
                <c:formatCode>General</c:formatCode>
                <c:ptCount val="1"/>
                <c:pt idx="0">
                  <c:v>4.7</c:v>
                </c:pt>
              </c:numCache>
            </c:numRef>
          </c:xVal>
          <c:yVal>
            <c:numRef>
              <c:f>'11 · Oportunidade'!$B$9</c:f>
              <c:numCache>
                <c:formatCode>General</c:formatCode>
                <c:ptCount val="1"/>
                <c:pt idx="0">
                  <c:v>9313</c:v>
                </c:pt>
              </c:numCache>
            </c:numRef>
          </c:yVal>
        </c:ser>
        <c:axId val="50150001"/>
        <c:axId val="50150002"/>
      </c:scatterChart>
      <c:val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2025 (USD Mi)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50002"/>
        <c:crosses val="autoZero"/>
        <c:crossBetween val="midCat"/>
      </c:val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CAGR 2020–2025 (%)</a:t>
                </a:r>
              </a:p>
            </c:rich>
          </c:tx>
          <c:layout/>
        </c:title>
        <c:numFmt formatCode="0.0&quot;%&quot;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50001"/>
        <c:crosses val="autoZero"/>
        <c:crossBetween val="midCat"/>
      </c:valAx>
      <c:spPr>
        <a:solidFill>
          <a:srgbClr val="FAFAFA"/>
        </a:solidFill>
        <a:ln>
          <a:solidFill>
            <a:srgbClr val="DDDDDD"/>
          </a:solidFill>
        </a:ln>
      </c:spPr>
    </c:plotArea>
    <c:legend>
      <c:legendPos val="r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466725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533400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428625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457200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266700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133350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133350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17</xdr:col>
      <xdr:colOff>323850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8</xdr:col>
      <xdr:colOff>323850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342900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18</xdr:col>
      <xdr:colOff>552450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571500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16</xdr:col>
      <xdr:colOff>495300</xdr:colOff>
      <xdr:row>24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561975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161925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showGridLines="0" tabSelected="1" workbookViewId="0"/>
  </sheetViews>
  <sheetFormatPr defaultRowHeight="15"/>
  <cols>
    <col min="1" max="1" width="35.7109375" customWidth="1"/>
    <col min="2" max="2" width="55.7109375" customWidth="1"/>
    <col min="3" max="3" width="20.7109375" customWidth="1"/>
  </cols>
  <sheetData>
    <row r="1" spans="1:3" ht="32" customHeight="1">
      <c r="A1" s="1" t="s">
        <v>0</v>
      </c>
      <c r="B1" s="1"/>
      <c r="C1" s="1"/>
    </row>
    <row r="2" spans="1:3" ht="18" customHeight="1">
      <c r="A2" s="2" t="s">
        <v>1</v>
      </c>
      <c r="B2" s="2"/>
      <c r="C2" s="2"/>
    </row>
    <row r="3" spans="1:3" ht="4" customHeight="1">
      <c r="A3" s="3"/>
      <c r="B3" s="3"/>
      <c r="C3" s="3"/>
    </row>
    <row r="4" spans="1:3" ht="14" customHeight="1">
      <c r="A4" s="4" t="s">
        <v>2</v>
      </c>
      <c r="B4" s="4" t="s">
        <v>3</v>
      </c>
      <c r="C4" s="4" t="s">
        <v>4</v>
      </c>
    </row>
    <row r="5" spans="1:3" ht="20" customHeight="1">
      <c r="A5" s="5" t="s">
        <v>5</v>
      </c>
      <c r="B5" s="6" t="s">
        <v>6</v>
      </c>
      <c r="C5" s="7" t="s">
        <v>7</v>
      </c>
    </row>
    <row r="6" spans="1:3" ht="20" customHeight="1">
      <c r="A6" s="8" t="s">
        <v>8</v>
      </c>
      <c r="B6" s="9" t="s">
        <v>9</v>
      </c>
      <c r="C6" s="10" t="s">
        <v>10</v>
      </c>
    </row>
    <row r="7" spans="1:3" ht="20" customHeight="1">
      <c r="A7" s="5" t="s">
        <v>11</v>
      </c>
      <c r="B7" s="6" t="s">
        <v>12</v>
      </c>
      <c r="C7" s="7" t="s">
        <v>13</v>
      </c>
    </row>
    <row r="8" spans="1:3" ht="20" customHeight="1">
      <c r="A8" s="8" t="s">
        <v>14</v>
      </c>
      <c r="B8" s="9" t="s">
        <v>15</v>
      </c>
      <c r="C8" s="10" t="s">
        <v>16</v>
      </c>
    </row>
    <row r="9" spans="1:3" ht="20" customHeight="1">
      <c r="A9" s="5" t="s">
        <v>17</v>
      </c>
      <c r="B9" s="6" t="s">
        <v>18</v>
      </c>
      <c r="C9" s="7" t="s">
        <v>19</v>
      </c>
    </row>
    <row r="10" spans="1:3" ht="20" customHeight="1">
      <c r="A10" s="8" t="s">
        <v>20</v>
      </c>
      <c r="B10" s="9" t="s">
        <v>21</v>
      </c>
      <c r="C10" s="10" t="s">
        <v>22</v>
      </c>
    </row>
    <row r="11" spans="1:3" ht="20" customHeight="1">
      <c r="A11" s="5" t="s">
        <v>23</v>
      </c>
      <c r="B11" s="6" t="s">
        <v>24</v>
      </c>
      <c r="C11" s="7" t="s">
        <v>25</v>
      </c>
    </row>
    <row r="12" spans="1:3" ht="20" customHeight="1">
      <c r="A12" s="8" t="s">
        <v>26</v>
      </c>
      <c r="B12" s="9" t="s">
        <v>27</v>
      </c>
      <c r="C12" s="10" t="s">
        <v>28</v>
      </c>
    </row>
    <row r="13" spans="1:3" ht="20" customHeight="1">
      <c r="A13" s="5" t="s">
        <v>29</v>
      </c>
      <c r="B13" s="6" t="s">
        <v>30</v>
      </c>
      <c r="C13" s="7" t="s">
        <v>31</v>
      </c>
    </row>
    <row r="14" spans="1:3" ht="20" customHeight="1">
      <c r="A14" s="8" t="s">
        <v>32</v>
      </c>
      <c r="B14" s="9" t="s">
        <v>33</v>
      </c>
      <c r="C14" s="10" t="s">
        <v>34</v>
      </c>
    </row>
    <row r="15" spans="1:3" ht="20" customHeight="1">
      <c r="A15" s="5" t="s">
        <v>35</v>
      </c>
      <c r="B15" s="6" t="s">
        <v>36</v>
      </c>
      <c r="C15" s="7" t="s">
        <v>37</v>
      </c>
    </row>
    <row r="16" spans="1:3" ht="20" customHeight="1">
      <c r="A16" s="8" t="s">
        <v>38</v>
      </c>
      <c r="B16" s="9" t="s">
        <v>39</v>
      </c>
      <c r="C16" s="10" t="s">
        <v>40</v>
      </c>
    </row>
    <row r="18" spans="1:3">
      <c r="A18" s="11" t="s">
        <v>41</v>
      </c>
      <c r="B18" s="11"/>
      <c r="C18" s="11"/>
    </row>
  </sheetData>
  <mergeCells count="4">
    <mergeCell ref="A1:C1"/>
    <mergeCell ref="A2:C2"/>
    <mergeCell ref="A3:C3"/>
    <mergeCell ref="A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"/>
  <sheetViews>
    <sheetView showGridLines="0" workbookViewId="0"/>
  </sheetViews>
  <sheetFormatPr defaultRowHeight="15"/>
  <cols>
    <col min="1" max="1" width="18.7109375" customWidth="1"/>
    <col min="2" max="13" width="9.7109375" customWidth="1"/>
  </cols>
  <sheetData>
    <row r="1" spans="1:17" ht="22" customHeight="1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7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7" ht="16" customHeight="1">
      <c r="A4" s="14" t="s">
        <v>44</v>
      </c>
      <c r="B4" s="14">
        <v>2015</v>
      </c>
      <c r="C4" s="14">
        <v>2016</v>
      </c>
      <c r="D4" s="14">
        <v>2017</v>
      </c>
      <c r="E4" s="14">
        <v>2018</v>
      </c>
      <c r="F4" s="14">
        <v>2019</v>
      </c>
      <c r="G4" s="14">
        <v>2020</v>
      </c>
      <c r="H4" s="14">
        <v>2021</v>
      </c>
      <c r="I4" s="14">
        <v>2022</v>
      </c>
      <c r="J4" s="14">
        <v>2023</v>
      </c>
      <c r="K4" s="14">
        <v>2024</v>
      </c>
      <c r="L4" s="14">
        <v>2025</v>
      </c>
      <c r="M4" s="14">
        <v>2026</v>
      </c>
      <c r="N4" s="14">
        <v>2027</v>
      </c>
      <c r="O4" s="14">
        <v>2028</v>
      </c>
      <c r="P4" s="14">
        <v>2029</v>
      </c>
      <c r="Q4" s="14">
        <v>2030</v>
      </c>
    </row>
    <row r="5" spans="1:17" ht="14" customHeight="1">
      <c r="A5" s="15" t="s">
        <v>45</v>
      </c>
      <c r="B5" s="16">
        <v>13473.9</v>
      </c>
      <c r="C5" s="16">
        <v>13973.6</v>
      </c>
      <c r="D5" s="16">
        <v>13954</v>
      </c>
      <c r="E5" s="16">
        <v>14072.3</v>
      </c>
      <c r="F5" s="16">
        <v>14150.6</v>
      </c>
      <c r="G5" s="16">
        <v>15924.9</v>
      </c>
      <c r="H5" s="16">
        <v>16497.8</v>
      </c>
      <c r="I5" s="16">
        <v>18008.6</v>
      </c>
      <c r="J5" s="16">
        <v>18724</v>
      </c>
      <c r="K5" s="16">
        <v>19275</v>
      </c>
      <c r="L5" s="16">
        <v>19969.6</v>
      </c>
      <c r="M5" s="17">
        <v>20672.3</v>
      </c>
      <c r="N5" s="17">
        <v>21291.1</v>
      </c>
      <c r="O5" s="17">
        <v>21917</v>
      </c>
      <c r="P5" s="17">
        <v>22531.4</v>
      </c>
      <c r="Q5" s="17">
        <v>23170.5</v>
      </c>
    </row>
    <row r="6" spans="1:17" ht="14" customHeight="1">
      <c r="A6" s="15" t="s">
        <v>46</v>
      </c>
      <c r="B6" s="16">
        <v>782.3</v>
      </c>
      <c r="C6" s="16">
        <v>779.5</v>
      </c>
      <c r="D6" s="16">
        <v>765.6</v>
      </c>
      <c r="E6" s="16">
        <v>776.2</v>
      </c>
      <c r="F6" s="16">
        <v>786.1</v>
      </c>
      <c r="G6" s="16">
        <v>858.5</v>
      </c>
      <c r="H6" s="16">
        <v>814.4</v>
      </c>
      <c r="I6" s="16">
        <v>748</v>
      </c>
      <c r="J6" s="16">
        <v>740.9</v>
      </c>
      <c r="K6" s="16">
        <v>738.9</v>
      </c>
      <c r="L6" s="16">
        <v>735.2</v>
      </c>
      <c r="M6" s="17">
        <v>731.3</v>
      </c>
      <c r="N6" s="17">
        <v>730.9</v>
      </c>
      <c r="O6" s="17">
        <v>731.4</v>
      </c>
      <c r="P6" s="17">
        <v>730.2</v>
      </c>
      <c r="Q6" s="17">
        <v>728.5</v>
      </c>
    </row>
    <row r="7" spans="1:17" ht="14" customHeight="1">
      <c r="A7" s="15" t="s">
        <v>47</v>
      </c>
      <c r="C7" s="18">
        <v>3.7</v>
      </c>
      <c r="D7" s="18">
        <v>-0.1</v>
      </c>
      <c r="E7" s="18">
        <v>0.8</v>
      </c>
      <c r="F7" s="18">
        <v>0.6</v>
      </c>
      <c r="G7" s="18">
        <v>12.5</v>
      </c>
      <c r="H7" s="18">
        <v>3.6</v>
      </c>
      <c r="I7" s="18">
        <v>9.199999999999999</v>
      </c>
      <c r="J7" s="18">
        <v>4</v>
      </c>
      <c r="K7" s="18">
        <v>2.9</v>
      </c>
      <c r="L7" s="18">
        <v>3.6</v>
      </c>
      <c r="M7" s="19">
        <v>3.5</v>
      </c>
      <c r="N7" s="19">
        <v>3</v>
      </c>
      <c r="O7" s="19">
        <v>2.9</v>
      </c>
      <c r="P7" s="19">
        <v>2.8</v>
      </c>
      <c r="Q7" s="19">
        <v>2.8</v>
      </c>
    </row>
    <row r="9" spans="1:17">
      <c r="A9" s="11" t="s">
        <v>48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</sheetData>
  <mergeCells count="3">
    <mergeCell ref="A1:N1"/>
    <mergeCell ref="A2:N2"/>
    <mergeCell ref="A9:N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showGridLines="0" workbookViewId="0"/>
  </sheetViews>
  <sheetFormatPr defaultRowHeight="15"/>
  <cols>
    <col min="1" max="1" width="22.7109375" customWidth="1"/>
    <col min="2" max="13" width="9.7109375" customWidth="1"/>
  </cols>
  <sheetData>
    <row r="1" spans="1:14" ht="22" customHeight="1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50</v>
      </c>
      <c r="B4" s="14">
        <v>2015</v>
      </c>
      <c r="C4" s="14">
        <v>2016</v>
      </c>
      <c r="D4" s="14">
        <v>2017</v>
      </c>
      <c r="E4" s="14">
        <v>2018</v>
      </c>
      <c r="F4" s="14">
        <v>2019</v>
      </c>
      <c r="G4" s="14">
        <v>2020</v>
      </c>
      <c r="H4" s="14">
        <v>2021</v>
      </c>
      <c r="I4" s="14">
        <v>2022</v>
      </c>
      <c r="J4" s="14">
        <v>2023</v>
      </c>
      <c r="K4" s="14">
        <v>2024</v>
      </c>
      <c r="L4" s="14">
        <v>2025</v>
      </c>
    </row>
    <row r="5" spans="1:14" ht="14" customHeight="1">
      <c r="A5" s="15" t="s">
        <v>51</v>
      </c>
      <c r="B5" s="16">
        <v>1058.5</v>
      </c>
      <c r="C5" s="16">
        <v>1068.7</v>
      </c>
      <c r="D5" s="16">
        <v>1066.5</v>
      </c>
      <c r="E5" s="16">
        <v>1101.5</v>
      </c>
      <c r="F5" s="16">
        <v>1137.2</v>
      </c>
      <c r="G5" s="16">
        <v>1298.9</v>
      </c>
      <c r="H5" s="16">
        <v>1304.3</v>
      </c>
      <c r="I5" s="16">
        <v>1363</v>
      </c>
      <c r="J5" s="16">
        <v>1424.8</v>
      </c>
      <c r="K5" s="16">
        <v>1519</v>
      </c>
      <c r="L5" s="16">
        <v>1590.2</v>
      </c>
    </row>
    <row r="6" spans="1:14" ht="14" customHeight="1">
      <c r="A6" s="15" t="s">
        <v>52</v>
      </c>
      <c r="B6" s="17">
        <v>11534.9</v>
      </c>
      <c r="C6" s="17">
        <v>12033</v>
      </c>
      <c r="D6" s="17">
        <v>12048.6</v>
      </c>
      <c r="E6" s="17">
        <v>12149.7</v>
      </c>
      <c r="F6" s="17">
        <v>12197.1</v>
      </c>
      <c r="G6" s="17">
        <v>13787.5</v>
      </c>
      <c r="H6" s="17">
        <v>14339.3</v>
      </c>
      <c r="I6" s="17">
        <v>15725.9</v>
      </c>
      <c r="J6" s="17">
        <v>16289.9</v>
      </c>
      <c r="K6" s="17">
        <v>16618.6</v>
      </c>
      <c r="L6" s="17">
        <v>17135.7</v>
      </c>
    </row>
    <row r="7" spans="1:14" ht="14" customHeight="1">
      <c r="A7" s="15" t="s">
        <v>53</v>
      </c>
      <c r="B7" s="16">
        <v>4632.8</v>
      </c>
      <c r="C7" s="16">
        <v>5094.1</v>
      </c>
      <c r="D7" s="16">
        <v>5245.1</v>
      </c>
      <c r="E7" s="16">
        <v>5416.7</v>
      </c>
      <c r="F7" s="16">
        <v>5544</v>
      </c>
      <c r="G7" s="16">
        <v>6387.2</v>
      </c>
      <c r="H7" s="16">
        <v>6734.1</v>
      </c>
      <c r="I7" s="16">
        <v>7203.3</v>
      </c>
      <c r="J7" s="16">
        <v>7451.8</v>
      </c>
      <c r="K7" s="16">
        <v>7585.2</v>
      </c>
      <c r="L7" s="16">
        <v>7822.9</v>
      </c>
    </row>
    <row r="8" spans="1:14" ht="14" customHeight="1">
      <c r="A8" s="15" t="s">
        <v>54</v>
      </c>
      <c r="B8" s="17">
        <v>880.5</v>
      </c>
      <c r="C8" s="17">
        <v>871.9</v>
      </c>
      <c r="D8" s="17">
        <v>838.9</v>
      </c>
      <c r="E8" s="17">
        <v>821.2</v>
      </c>
      <c r="F8" s="17">
        <v>816.4</v>
      </c>
      <c r="G8" s="17">
        <v>838.5</v>
      </c>
      <c r="H8" s="17">
        <v>854.2</v>
      </c>
      <c r="I8" s="17">
        <v>919.6</v>
      </c>
      <c r="J8" s="17">
        <v>1009.2</v>
      </c>
      <c r="K8" s="17">
        <v>1137.4</v>
      </c>
      <c r="L8" s="17">
        <v>1243.7</v>
      </c>
    </row>
    <row r="9" spans="1:14" ht="14" customHeight="1">
      <c r="A9" s="15" t="s">
        <v>55</v>
      </c>
      <c r="B9" s="16">
        <v>6902.1</v>
      </c>
      <c r="C9" s="16">
        <v>6938.8</v>
      </c>
      <c r="D9" s="16">
        <v>6803.5</v>
      </c>
      <c r="E9" s="16">
        <v>6733</v>
      </c>
      <c r="F9" s="16">
        <v>6653.1</v>
      </c>
      <c r="G9" s="16">
        <v>7400.2</v>
      </c>
      <c r="H9" s="16">
        <v>7605.2</v>
      </c>
      <c r="I9" s="16">
        <v>8522.5</v>
      </c>
      <c r="J9" s="16">
        <v>8838.1</v>
      </c>
      <c r="K9" s="16">
        <v>9033.4</v>
      </c>
      <c r="L9" s="16">
        <v>9312.799999999999</v>
      </c>
    </row>
    <row r="11" spans="1:14">
      <c r="A11" s="11" t="s">
        <v>56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</sheetData>
  <mergeCells count="3">
    <mergeCell ref="A1:N1"/>
    <mergeCell ref="A2:N2"/>
    <mergeCell ref="A11:N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showGridLines="0" workbookViewId="0"/>
  </sheetViews>
  <sheetFormatPr defaultRowHeight="15"/>
  <cols>
    <col min="1" max="1" width="26.7109375" customWidth="1"/>
    <col min="2" max="6" width="12.7109375" customWidth="1"/>
  </cols>
  <sheetData>
    <row r="1" spans="1:14" ht="22" customHeight="1">
      <c r="A1" s="12" t="s">
        <v>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50</v>
      </c>
      <c r="B4" s="14" t="s">
        <v>58</v>
      </c>
      <c r="C4" s="20" t="s">
        <v>59</v>
      </c>
      <c r="D4" s="14" t="s">
        <v>60</v>
      </c>
      <c r="E4" s="14" t="s">
        <v>61</v>
      </c>
    </row>
    <row r="5" spans="1:14">
      <c r="A5" s="21" t="s">
        <v>51</v>
      </c>
      <c r="B5" s="18">
        <v>4.18</v>
      </c>
      <c r="C5" s="18">
        <v>4.13</v>
      </c>
      <c r="D5" s="22">
        <v>5.02</v>
      </c>
      <c r="E5" s="16">
        <v>1590</v>
      </c>
    </row>
    <row r="6" spans="1:14">
      <c r="A6" s="23" t="s">
        <v>52</v>
      </c>
      <c r="B6" s="19">
        <v>3.63</v>
      </c>
      <c r="C6" s="19">
        <v>4.44</v>
      </c>
      <c r="D6" s="24">
        <v>0.46</v>
      </c>
      <c r="E6" s="16">
        <v>17136</v>
      </c>
    </row>
    <row r="7" spans="1:14">
      <c r="A7" s="21" t="s">
        <v>53</v>
      </c>
      <c r="B7" s="18">
        <v>6.63</v>
      </c>
      <c r="C7" s="18">
        <v>4.14</v>
      </c>
      <c r="D7" s="22">
        <v>3.91</v>
      </c>
      <c r="E7" s="16">
        <v>7823</v>
      </c>
    </row>
    <row r="8" spans="1:14">
      <c r="A8" s="23" t="s">
        <v>54</v>
      </c>
      <c r="B8" s="19">
        <v>-0.97</v>
      </c>
      <c r="C8" s="25">
        <v>8.199999999999999</v>
      </c>
      <c r="D8" s="24">
        <v>3.45</v>
      </c>
      <c r="E8" s="16">
        <v>1244</v>
      </c>
    </row>
    <row r="9" spans="1:14">
      <c r="A9" s="21" t="s">
        <v>55</v>
      </c>
      <c r="B9" s="18">
        <v>1.4</v>
      </c>
      <c r="C9" s="18">
        <v>4.7</v>
      </c>
      <c r="D9" s="22">
        <v>1.82</v>
      </c>
      <c r="E9" s="16">
        <v>9313</v>
      </c>
    </row>
    <row r="11" spans="1:14">
      <c r="A11" s="11" t="s">
        <v>62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</sheetData>
  <mergeCells count="3">
    <mergeCell ref="A1:N1"/>
    <mergeCell ref="A2:N2"/>
    <mergeCell ref="A11:N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"/>
  <sheetViews>
    <sheetView showGridLines="0" workbookViewId="0"/>
  </sheetViews>
  <sheetFormatPr defaultRowHeight="15"/>
  <cols>
    <col min="1" max="1" width="20.7109375" customWidth="1"/>
    <col min="2" max="13" width="8.7109375" customWidth="1"/>
  </cols>
  <sheetData>
    <row r="1" spans="1:14" ht="22" customHeight="1">
      <c r="A1" s="12" t="s">
        <v>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64</v>
      </c>
      <c r="B4" s="14">
        <v>2015</v>
      </c>
      <c r="C4" s="14">
        <v>2016</v>
      </c>
      <c r="D4" s="14">
        <v>2017</v>
      </c>
      <c r="E4" s="14">
        <v>2018</v>
      </c>
      <c r="F4" s="14">
        <v>2019</v>
      </c>
      <c r="G4" s="14">
        <v>2020</v>
      </c>
      <c r="H4" s="14">
        <v>2021</v>
      </c>
      <c r="I4" s="14">
        <v>2022</v>
      </c>
      <c r="J4" s="14">
        <v>2023</v>
      </c>
      <c r="K4" s="14">
        <v>2024</v>
      </c>
      <c r="L4" s="14">
        <v>2025</v>
      </c>
    </row>
    <row r="5" spans="1:14" ht="14" customHeight="1">
      <c r="A5" s="15" t="s">
        <v>65</v>
      </c>
      <c r="B5" s="16">
        <v>100</v>
      </c>
      <c r="C5" s="16">
        <v>103.7</v>
      </c>
      <c r="D5" s="16">
        <v>103.6</v>
      </c>
      <c r="E5" s="16">
        <v>104.4</v>
      </c>
      <c r="F5" s="16">
        <v>105</v>
      </c>
      <c r="G5" s="16">
        <v>118.2</v>
      </c>
      <c r="H5" s="16">
        <v>122.4</v>
      </c>
      <c r="I5" s="16">
        <v>133.7</v>
      </c>
      <c r="J5" s="16">
        <v>139</v>
      </c>
      <c r="K5" s="16">
        <v>143.1</v>
      </c>
      <c r="L5" s="16">
        <v>148.2</v>
      </c>
    </row>
    <row r="6" spans="1:14" ht="14" customHeight="1">
      <c r="A6" s="15" t="s">
        <v>66</v>
      </c>
      <c r="B6" s="17">
        <v>100</v>
      </c>
      <c r="C6" s="17">
        <v>99.59999999999999</v>
      </c>
      <c r="D6" s="17">
        <v>97.90000000000001</v>
      </c>
      <c r="E6" s="17">
        <v>99.2</v>
      </c>
      <c r="F6" s="17">
        <v>100.5</v>
      </c>
      <c r="G6" s="17">
        <v>109.7</v>
      </c>
      <c r="H6" s="17">
        <v>104.1</v>
      </c>
      <c r="I6" s="17">
        <v>95.59999999999999</v>
      </c>
      <c r="J6" s="17">
        <v>94.7</v>
      </c>
      <c r="K6" s="17">
        <v>94.40000000000001</v>
      </c>
      <c r="L6" s="17">
        <v>94</v>
      </c>
    </row>
    <row r="8" spans="1:14">
      <c r="A8" s="11" t="s">
        <v>67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</sheetData>
  <mergeCells count="3">
    <mergeCell ref="A1:N1"/>
    <mergeCell ref="A2:N2"/>
    <mergeCell ref="A8:N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"/>
  <sheetViews>
    <sheetView showGridLines="0" workbookViewId="0"/>
  </sheetViews>
  <sheetFormatPr defaultRowHeight="15"/>
  <cols>
    <col min="1" max="1" width="22.7109375" customWidth="1"/>
    <col min="2" max="13" width="8.7109375" customWidth="1"/>
  </cols>
  <sheetData>
    <row r="1" spans="1:14" ht="22" customHeight="1">
      <c r="A1" s="12" t="s">
        <v>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50</v>
      </c>
      <c r="B4" s="14">
        <v>2015</v>
      </c>
      <c r="C4" s="14">
        <v>2016</v>
      </c>
      <c r="D4" s="14">
        <v>2017</v>
      </c>
      <c r="E4" s="14">
        <v>2018</v>
      </c>
      <c r="F4" s="14">
        <v>2019</v>
      </c>
      <c r="G4" s="14">
        <v>2020</v>
      </c>
      <c r="H4" s="14">
        <v>2021</v>
      </c>
      <c r="I4" s="14">
        <v>2022</v>
      </c>
      <c r="J4" s="14">
        <v>2023</v>
      </c>
      <c r="K4" s="14">
        <v>2024</v>
      </c>
      <c r="L4" s="14">
        <v>2025</v>
      </c>
    </row>
    <row r="5" spans="1:14" ht="14" customHeight="1">
      <c r="A5" s="15" t="s">
        <v>69</v>
      </c>
      <c r="B5" s="26">
        <v>17.22</v>
      </c>
      <c r="C5" s="26">
        <v>17.93</v>
      </c>
      <c r="D5" s="26">
        <v>18.23</v>
      </c>
      <c r="E5" s="26">
        <v>18.13</v>
      </c>
      <c r="F5" s="26">
        <v>18</v>
      </c>
      <c r="G5" s="26">
        <v>18.55</v>
      </c>
      <c r="H5" s="26">
        <v>20.26</v>
      </c>
      <c r="I5" s="26">
        <v>24.08</v>
      </c>
      <c r="J5" s="26">
        <v>25.27</v>
      </c>
      <c r="K5" s="26">
        <v>26.09</v>
      </c>
      <c r="L5" s="26">
        <v>27.16</v>
      </c>
    </row>
    <row r="6" spans="1:14" ht="14" customHeight="1">
      <c r="A6" s="15" t="s">
        <v>51</v>
      </c>
      <c r="B6" s="27">
        <v>21.08</v>
      </c>
      <c r="C6" s="27">
        <v>20.44</v>
      </c>
      <c r="D6" s="27">
        <v>20.8</v>
      </c>
      <c r="E6" s="27">
        <v>20.96</v>
      </c>
      <c r="F6" s="27">
        <v>21.05</v>
      </c>
      <c r="G6" s="27">
        <v>21.62</v>
      </c>
      <c r="H6" s="27">
        <v>22.59</v>
      </c>
      <c r="I6" s="27">
        <v>24.89</v>
      </c>
      <c r="J6" s="27">
        <v>26.49</v>
      </c>
      <c r="K6" s="27">
        <v>27.97</v>
      </c>
      <c r="L6" s="27">
        <v>28.92</v>
      </c>
    </row>
    <row r="7" spans="1:14" ht="14" customHeight="1">
      <c r="A7" s="15" t="s">
        <v>52</v>
      </c>
      <c r="B7" s="26">
        <v>16.31</v>
      </c>
      <c r="C7" s="26">
        <v>17.11</v>
      </c>
      <c r="D7" s="26">
        <v>17.43</v>
      </c>
      <c r="E7" s="26">
        <v>17.33</v>
      </c>
      <c r="F7" s="26">
        <v>17.19</v>
      </c>
      <c r="G7" s="26">
        <v>17.77</v>
      </c>
      <c r="H7" s="26">
        <v>19.51</v>
      </c>
      <c r="I7" s="26">
        <v>23.38</v>
      </c>
      <c r="J7" s="26">
        <v>24.46</v>
      </c>
      <c r="K7" s="26">
        <v>25.14</v>
      </c>
      <c r="L7" s="26">
        <v>26.14</v>
      </c>
    </row>
    <row r="8" spans="1:14" ht="14" customHeight="1">
      <c r="A8" s="15" t="s">
        <v>70</v>
      </c>
      <c r="B8" s="27">
        <v>69.59999999999999</v>
      </c>
      <c r="C8" s="27">
        <v>67.78</v>
      </c>
      <c r="D8" s="27">
        <v>67.19</v>
      </c>
      <c r="E8" s="27">
        <v>64.79000000000001</v>
      </c>
      <c r="F8" s="27">
        <v>62.38</v>
      </c>
      <c r="G8" s="27">
        <v>64.12</v>
      </c>
      <c r="H8" s="27">
        <v>66.64</v>
      </c>
      <c r="I8" s="27">
        <v>73.37</v>
      </c>
      <c r="J8" s="27">
        <v>74.15000000000001</v>
      </c>
      <c r="K8" s="27">
        <v>73.16</v>
      </c>
      <c r="L8" s="27">
        <v>74.22</v>
      </c>
    </row>
    <row r="9" spans="1:14" ht="14" customHeight="1">
      <c r="A9" s="15" t="s">
        <v>54</v>
      </c>
      <c r="B9" s="26">
        <v>35.66</v>
      </c>
      <c r="C9" s="26">
        <v>36.23</v>
      </c>
      <c r="D9" s="26">
        <v>36.46</v>
      </c>
      <c r="E9" s="26">
        <v>36.55</v>
      </c>
      <c r="F9" s="26">
        <v>36.28</v>
      </c>
      <c r="G9" s="26">
        <v>36.85</v>
      </c>
      <c r="H9" s="26">
        <v>39.29</v>
      </c>
      <c r="I9" s="26">
        <v>44.89</v>
      </c>
      <c r="J9" s="26">
        <v>47.42</v>
      </c>
      <c r="K9" s="26">
        <v>48.33</v>
      </c>
      <c r="L9" s="26">
        <v>50.55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9"/>
  <sheetViews>
    <sheetView showGridLines="0" workbookViewId="0"/>
  </sheetViews>
  <sheetFormatPr defaultRowHeight="15"/>
  <cols>
    <col min="1" max="1" width="22.7109375" customWidth="1"/>
    <col min="2" max="17" width="8.7109375" customWidth="1"/>
  </cols>
  <sheetData>
    <row r="1" spans="1:17" ht="22" customHeight="1">
      <c r="A1" s="12" t="s">
        <v>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7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7" ht="16" customHeight="1">
      <c r="A4" s="14" t="s">
        <v>51</v>
      </c>
      <c r="B4" s="20">
        <v>2015</v>
      </c>
      <c r="C4" s="20">
        <v>2016</v>
      </c>
      <c r="D4" s="20">
        <v>2017</v>
      </c>
      <c r="E4" s="20">
        <v>2018</v>
      </c>
      <c r="F4" s="20">
        <v>2019</v>
      </c>
      <c r="G4" s="20">
        <v>2020</v>
      </c>
      <c r="H4" s="20">
        <v>2021</v>
      </c>
      <c r="I4" s="20">
        <v>2022</v>
      </c>
      <c r="J4" s="20">
        <v>2023</v>
      </c>
      <c r="K4" s="20">
        <v>2024</v>
      </c>
      <c r="L4" s="20">
        <v>2025</v>
      </c>
      <c r="M4" s="14">
        <v>2026</v>
      </c>
      <c r="N4" s="14">
        <v>2027</v>
      </c>
      <c r="O4" s="14">
        <v>2028</v>
      </c>
      <c r="P4" s="14">
        <v>2029</v>
      </c>
      <c r="Q4" s="14">
        <v>2030</v>
      </c>
    </row>
    <row r="5" spans="1:17" ht="14" customHeight="1">
      <c r="A5" s="15" t="s">
        <v>45</v>
      </c>
      <c r="B5" s="16">
        <v>1058.53</v>
      </c>
      <c r="C5" s="16">
        <v>1068.71</v>
      </c>
      <c r="D5" s="16">
        <v>1066.45</v>
      </c>
      <c r="E5" s="16">
        <v>1101.46</v>
      </c>
      <c r="F5" s="16">
        <v>1137.16</v>
      </c>
      <c r="G5" s="16">
        <v>1298.86</v>
      </c>
      <c r="H5" s="16">
        <v>1304.32</v>
      </c>
      <c r="I5" s="16">
        <v>1363.05</v>
      </c>
      <c r="J5" s="16">
        <v>1424.82</v>
      </c>
      <c r="K5" s="16">
        <v>1519</v>
      </c>
      <c r="L5" s="16">
        <v>1590.22</v>
      </c>
      <c r="M5" s="16">
        <v>1669.67</v>
      </c>
      <c r="N5" s="16">
        <v>1751.1</v>
      </c>
      <c r="O5" s="16">
        <v>1839.96</v>
      </c>
      <c r="P5" s="16">
        <v>1932.98</v>
      </c>
      <c r="Q5" s="16">
        <v>2031.86</v>
      </c>
    </row>
    <row r="6" spans="1:17" ht="14" customHeight="1">
      <c r="A6" s="15" t="s">
        <v>46</v>
      </c>
      <c r="B6" s="17">
        <v>50.2</v>
      </c>
      <c r="C6" s="17">
        <v>52.3</v>
      </c>
      <c r="D6" s="17">
        <v>51.3</v>
      </c>
      <c r="E6" s="17">
        <v>52.5</v>
      </c>
      <c r="F6" s="17">
        <v>54</v>
      </c>
      <c r="G6" s="17">
        <v>60.1</v>
      </c>
      <c r="H6" s="17">
        <v>57.7</v>
      </c>
      <c r="I6" s="17">
        <v>54.8</v>
      </c>
      <c r="J6" s="17">
        <v>53.8</v>
      </c>
      <c r="K6" s="17">
        <v>54.3</v>
      </c>
      <c r="L6" s="17">
        <v>55</v>
      </c>
      <c r="M6" s="17">
        <v>55.7</v>
      </c>
      <c r="N6" s="17">
        <v>56.5</v>
      </c>
      <c r="O6" s="17">
        <v>57.6</v>
      </c>
      <c r="P6" s="17">
        <v>58.7</v>
      </c>
      <c r="Q6" s="17">
        <v>59.8</v>
      </c>
    </row>
    <row r="7" spans="1:17" ht="14" customHeight="1">
      <c r="A7" s="15" t="s">
        <v>72</v>
      </c>
      <c r="B7" s="26">
        <v>21.08</v>
      </c>
      <c r="C7" s="26">
        <v>20.44</v>
      </c>
      <c r="D7" s="26">
        <v>20.8</v>
      </c>
      <c r="E7" s="26">
        <v>20.96</v>
      </c>
      <c r="F7" s="26">
        <v>21.05</v>
      </c>
      <c r="G7" s="26">
        <v>21.62</v>
      </c>
      <c r="H7" s="26">
        <v>22.59</v>
      </c>
      <c r="I7" s="26">
        <v>24.89</v>
      </c>
      <c r="J7" s="26">
        <v>26.49</v>
      </c>
      <c r="K7" s="26">
        <v>27.97</v>
      </c>
      <c r="L7" s="26">
        <v>28.92</v>
      </c>
      <c r="M7" s="26">
        <v>29.18</v>
      </c>
      <c r="N7" s="26">
        <v>29.5</v>
      </c>
      <c r="O7" s="26">
        <v>29.77</v>
      </c>
      <c r="P7" s="26">
        <v>30</v>
      </c>
      <c r="Q7" s="26">
        <v>30.31</v>
      </c>
    </row>
    <row r="9" spans="1:17">
      <c r="A9" s="11" t="s">
        <v>73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</sheetData>
  <mergeCells count="3">
    <mergeCell ref="A1:N1"/>
    <mergeCell ref="A2:N2"/>
    <mergeCell ref="A9:N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"/>
  <sheetViews>
    <sheetView showGridLines="0" workbookViewId="0"/>
  </sheetViews>
  <sheetFormatPr defaultRowHeight="15"/>
  <cols>
    <col min="1" max="1" width="22.7109375" customWidth="1"/>
    <col min="2" max="13" width="8.7109375" customWidth="1"/>
  </cols>
  <sheetData>
    <row r="1" spans="1:14" ht="22" customHeight="1">
      <c r="A1" s="12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75</v>
      </c>
      <c r="B4" s="14">
        <v>2015</v>
      </c>
      <c r="C4" s="14">
        <v>2016</v>
      </c>
      <c r="D4" s="14">
        <v>2017</v>
      </c>
      <c r="E4" s="14">
        <v>2018</v>
      </c>
      <c r="F4" s="14">
        <v>2019</v>
      </c>
      <c r="G4" s="14">
        <v>2020</v>
      </c>
      <c r="H4" s="14">
        <v>2021</v>
      </c>
      <c r="I4" s="14">
        <v>2022</v>
      </c>
      <c r="J4" s="14">
        <v>2023</v>
      </c>
      <c r="K4" s="14">
        <v>2024</v>
      </c>
      <c r="L4" s="14">
        <v>2025</v>
      </c>
    </row>
    <row r="5" spans="1:14" ht="14" customHeight="1">
      <c r="A5" s="15" t="s">
        <v>76</v>
      </c>
      <c r="B5" s="18">
        <v>6.17</v>
      </c>
      <c r="C5" s="18">
        <v>6.48</v>
      </c>
      <c r="D5" s="18">
        <v>6.94</v>
      </c>
      <c r="E5" s="18">
        <v>7.86</v>
      </c>
      <c r="F5" s="18">
        <v>9.77</v>
      </c>
      <c r="G5" s="18">
        <v>17.88</v>
      </c>
      <c r="H5" s="18">
        <v>18.99</v>
      </c>
      <c r="I5" s="18">
        <v>21.44</v>
      </c>
      <c r="J5" s="18">
        <v>22.98</v>
      </c>
      <c r="K5" s="18">
        <v>26.7</v>
      </c>
      <c r="L5" s="18">
        <v>28.09</v>
      </c>
    </row>
    <row r="6" spans="1:14" ht="14" customHeight="1">
      <c r="A6" s="15" t="s">
        <v>77</v>
      </c>
      <c r="B6" s="19">
        <v>91.44</v>
      </c>
      <c r="C6" s="19">
        <v>91.18000000000001</v>
      </c>
      <c r="D6" s="19">
        <v>90.73999999999999</v>
      </c>
      <c r="E6" s="19">
        <v>89.84</v>
      </c>
      <c r="F6" s="19">
        <v>87.94</v>
      </c>
      <c r="G6" s="19">
        <v>80.18000000000001</v>
      </c>
      <c r="H6" s="19">
        <v>78.98999999999999</v>
      </c>
      <c r="I6" s="19">
        <v>76.65000000000001</v>
      </c>
      <c r="J6" s="19">
        <v>75.11</v>
      </c>
      <c r="K6" s="19">
        <v>71.55</v>
      </c>
      <c r="L6" s="19">
        <v>70.27</v>
      </c>
    </row>
    <row r="7" spans="1:14" ht="14" customHeight="1">
      <c r="A7" s="15" t="s">
        <v>78</v>
      </c>
      <c r="B7" s="18">
        <v>93.83</v>
      </c>
      <c r="C7" s="18">
        <v>93.52</v>
      </c>
      <c r="D7" s="18">
        <v>93.06</v>
      </c>
      <c r="E7" s="18">
        <v>92.14</v>
      </c>
      <c r="F7" s="18">
        <v>90.23</v>
      </c>
      <c r="G7" s="18">
        <v>82.12</v>
      </c>
      <c r="H7" s="18">
        <v>81.01000000000001</v>
      </c>
      <c r="I7" s="18">
        <v>78.56</v>
      </c>
      <c r="J7" s="18">
        <v>77.02</v>
      </c>
      <c r="K7" s="18">
        <v>73.3</v>
      </c>
      <c r="L7" s="18">
        <v>71.91</v>
      </c>
    </row>
    <row r="9" spans="1:14">
      <c r="A9" s="11" t="s">
        <v>79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</sheetData>
  <mergeCells count="3">
    <mergeCell ref="A1:N1"/>
    <mergeCell ref="A2:N2"/>
    <mergeCell ref="A9:N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showGridLines="0" workbookViewId="0"/>
  </sheetViews>
  <sheetFormatPr defaultRowHeight="15"/>
  <cols>
    <col min="1" max="1" width="22.7109375" customWidth="1"/>
    <col min="2" max="13" width="8.7109375" customWidth="1"/>
  </cols>
  <sheetData>
    <row r="1" spans="1:14" ht="22" customHeight="1">
      <c r="A1" s="12" t="s">
        <v>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75</v>
      </c>
      <c r="B4" s="14">
        <v>2015</v>
      </c>
      <c r="C4" s="14">
        <v>2016</v>
      </c>
      <c r="D4" s="14">
        <v>2017</v>
      </c>
      <c r="E4" s="14">
        <v>2018</v>
      </c>
      <c r="F4" s="14">
        <v>2019</v>
      </c>
      <c r="G4" s="14">
        <v>2020</v>
      </c>
      <c r="H4" s="14">
        <v>2021</v>
      </c>
      <c r="I4" s="14">
        <v>2022</v>
      </c>
      <c r="J4" s="14">
        <v>2023</v>
      </c>
      <c r="K4" s="14">
        <v>2024</v>
      </c>
      <c r="L4" s="14">
        <v>2025</v>
      </c>
    </row>
    <row r="5" spans="1:14" ht="14" customHeight="1">
      <c r="A5" s="15" t="s">
        <v>81</v>
      </c>
      <c r="B5" s="18">
        <v>6.17</v>
      </c>
      <c r="C5" s="18">
        <v>6.48</v>
      </c>
      <c r="D5" s="18">
        <v>6.94</v>
      </c>
      <c r="E5" s="18">
        <v>7.86</v>
      </c>
      <c r="F5" s="18">
        <v>9.77</v>
      </c>
      <c r="G5" s="18">
        <v>17.88</v>
      </c>
      <c r="H5" s="18">
        <v>18.99</v>
      </c>
      <c r="I5" s="18">
        <v>21.44</v>
      </c>
      <c r="J5" s="18">
        <v>22.98</v>
      </c>
      <c r="K5" s="18">
        <v>26.7</v>
      </c>
      <c r="L5" s="18">
        <v>28.09</v>
      </c>
    </row>
    <row r="6" spans="1:14" ht="14" customHeight="1">
      <c r="A6" s="15" t="s">
        <v>82</v>
      </c>
      <c r="B6" s="19">
        <v>93.83</v>
      </c>
      <c r="C6" s="19">
        <v>93.52</v>
      </c>
      <c r="D6" s="19">
        <v>93.06</v>
      </c>
      <c r="E6" s="19">
        <v>92.14</v>
      </c>
      <c r="F6" s="19">
        <v>90.23</v>
      </c>
      <c r="G6" s="19">
        <v>82.12</v>
      </c>
      <c r="H6" s="19">
        <v>81.01000000000001</v>
      </c>
      <c r="I6" s="19">
        <v>78.56</v>
      </c>
      <c r="J6" s="19">
        <v>77.02</v>
      </c>
      <c r="K6" s="19">
        <v>73.3</v>
      </c>
      <c r="L6" s="19">
        <v>71.91</v>
      </c>
    </row>
    <row r="7" spans="1:14" ht="14" customHeight="1">
      <c r="A7" s="15" t="s">
        <v>83</v>
      </c>
      <c r="B7" s="16">
        <v>48.3</v>
      </c>
      <c r="C7" s="16">
        <v>50.5</v>
      </c>
      <c r="D7" s="16">
        <v>53.1</v>
      </c>
      <c r="E7" s="16">
        <v>61</v>
      </c>
      <c r="F7" s="16">
        <v>76.8</v>
      </c>
      <c r="G7" s="16">
        <v>153.5</v>
      </c>
      <c r="H7" s="16">
        <v>154.7</v>
      </c>
      <c r="I7" s="16">
        <v>160.4</v>
      </c>
      <c r="J7" s="16">
        <v>170.3</v>
      </c>
      <c r="K7" s="16">
        <v>197.3</v>
      </c>
      <c r="L7" s="16">
        <v>206.5</v>
      </c>
    </row>
    <row r="9" spans="1:14">
      <c r="A9" s="11" t="s">
        <v>84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</sheetData>
  <mergeCells count="3">
    <mergeCell ref="A1:N1"/>
    <mergeCell ref="A2:N2"/>
    <mergeCell ref="A9:N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5"/>
  <sheetViews>
    <sheetView showGridLines="0" workbookViewId="0"/>
  </sheetViews>
  <sheetFormatPr defaultRowHeight="15"/>
  <cols>
    <col min="1" max="1" width="30.7109375" customWidth="1"/>
    <col min="2" max="8" width="10.7109375" customWidth="1"/>
  </cols>
  <sheetData>
    <row r="1" spans="1:14" ht="22" customHeight="1">
      <c r="A1" s="12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86</v>
      </c>
      <c r="B4" s="14">
        <v>2020</v>
      </c>
      <c r="C4" s="14">
        <v>2021</v>
      </c>
      <c r="D4" s="14">
        <v>2022</v>
      </c>
      <c r="E4" s="14">
        <v>2023</v>
      </c>
      <c r="F4" s="14">
        <v>2024</v>
      </c>
      <c r="G4" s="14">
        <v>2025</v>
      </c>
    </row>
    <row r="5" spans="1:14">
      <c r="A5" s="8" t="s">
        <v>87</v>
      </c>
      <c r="B5" s="18">
        <v>20.7</v>
      </c>
      <c r="C5" s="18">
        <v>18.63</v>
      </c>
      <c r="D5" s="18">
        <v>17.66</v>
      </c>
      <c r="E5" s="18">
        <v>17.62</v>
      </c>
      <c r="F5" s="18">
        <v>17.62</v>
      </c>
      <c r="G5" s="18">
        <v>18.83</v>
      </c>
    </row>
    <row r="6" spans="1:14">
      <c r="A6" s="6" t="s">
        <v>88</v>
      </c>
      <c r="B6" s="19">
        <v>13.01</v>
      </c>
      <c r="C6" s="19">
        <v>12.97</v>
      </c>
      <c r="D6" s="19">
        <v>14.31</v>
      </c>
      <c r="E6" s="19">
        <v>14.18</v>
      </c>
      <c r="F6" s="19">
        <v>14.06</v>
      </c>
      <c r="G6" s="19">
        <v>14.38</v>
      </c>
    </row>
    <row r="7" spans="1:14">
      <c r="A7" s="9" t="s">
        <v>89</v>
      </c>
      <c r="B7" s="18">
        <v>7.99</v>
      </c>
      <c r="C7" s="18">
        <v>7.08</v>
      </c>
      <c r="D7" s="18">
        <v>7.02</v>
      </c>
      <c r="E7" s="18">
        <v>7</v>
      </c>
      <c r="F7" s="18">
        <v>7.01</v>
      </c>
      <c r="G7" s="18">
        <v>7.19</v>
      </c>
    </row>
    <row r="8" spans="1:14">
      <c r="A8" s="6" t="s">
        <v>90</v>
      </c>
      <c r="B8" s="19">
        <v>6.05</v>
      </c>
      <c r="C8" s="19">
        <v>6.32</v>
      </c>
      <c r="D8" s="19">
        <v>6.46</v>
      </c>
      <c r="E8" s="19">
        <v>6.56</v>
      </c>
      <c r="F8" s="19">
        <v>6.65</v>
      </c>
      <c r="G8" s="19">
        <v>6.91</v>
      </c>
    </row>
    <row r="9" spans="1:14">
      <c r="A9" s="9" t="s">
        <v>91</v>
      </c>
      <c r="B9" s="18">
        <v>6.92</v>
      </c>
      <c r="C9" s="18">
        <v>7.04</v>
      </c>
      <c r="D9" s="18">
        <v>7.2</v>
      </c>
      <c r="E9" s="18">
        <v>6.73</v>
      </c>
      <c r="F9" s="18">
        <v>6.52</v>
      </c>
      <c r="G9" s="18">
        <v>6.33</v>
      </c>
    </row>
    <row r="10" spans="1:14">
      <c r="A10" s="6" t="s">
        <v>92</v>
      </c>
      <c r="B10" s="19">
        <v>2.66</v>
      </c>
      <c r="C10" s="19">
        <v>2.47</v>
      </c>
      <c r="D10" s="19">
        <v>2.34</v>
      </c>
      <c r="E10" s="19">
        <v>2.31</v>
      </c>
      <c r="F10" s="19">
        <v>2.29</v>
      </c>
      <c r="G10" s="19">
        <v>2.44</v>
      </c>
    </row>
    <row r="11" spans="1:14">
      <c r="A11" s="9" t="s">
        <v>93</v>
      </c>
      <c r="B11" s="18">
        <v>2.35</v>
      </c>
      <c r="C11" s="18">
        <v>2.3</v>
      </c>
      <c r="D11" s="18">
        <v>2.33</v>
      </c>
      <c r="E11" s="18">
        <v>2.39</v>
      </c>
      <c r="F11" s="18">
        <v>2.44</v>
      </c>
      <c r="G11" s="18">
        <v>2.44</v>
      </c>
    </row>
    <row r="12" spans="1:14">
      <c r="A12" s="6" t="s">
        <v>94</v>
      </c>
      <c r="B12" s="19">
        <v>2.16</v>
      </c>
      <c r="C12" s="19">
        <v>2.21</v>
      </c>
      <c r="D12" s="19">
        <v>2.24</v>
      </c>
      <c r="E12" s="19">
        <v>2.23</v>
      </c>
      <c r="F12" s="19">
        <v>2.22</v>
      </c>
      <c r="G12" s="19">
        <v>2.22</v>
      </c>
    </row>
    <row r="13" spans="1:14">
      <c r="A13" s="9" t="s">
        <v>95</v>
      </c>
      <c r="B13" s="18">
        <v>0.6899999999999999</v>
      </c>
      <c r="C13" s="18">
        <v>0.98</v>
      </c>
      <c r="D13" s="18">
        <v>1.24</v>
      </c>
      <c r="E13" s="18">
        <v>1.42</v>
      </c>
      <c r="F13" s="18">
        <v>1.51</v>
      </c>
      <c r="G13" s="18">
        <v>1.61</v>
      </c>
    </row>
    <row r="15" spans="1:14">
      <c r="A15" s="11" t="s">
        <v>96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</sheetData>
  <mergeCells count="3">
    <mergeCell ref="A1:N1"/>
    <mergeCell ref="A2:N2"/>
    <mergeCell ref="A15:N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5"/>
  <sheetViews>
    <sheetView showGridLines="0" workbookViewId="0"/>
  </sheetViews>
  <sheetFormatPr defaultRowHeight="15"/>
  <cols>
    <col min="1" max="1" width="28.7109375" customWidth="1"/>
    <col min="2" max="8" width="10.7109375" customWidth="1"/>
  </cols>
  <sheetData>
    <row r="1" spans="1:14" ht="22" customHeight="1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98</v>
      </c>
      <c r="B4" s="14">
        <v>2020</v>
      </c>
      <c r="C4" s="14">
        <v>2021</v>
      </c>
      <c r="D4" s="14">
        <v>2022</v>
      </c>
      <c r="E4" s="14">
        <v>2023</v>
      </c>
      <c r="F4" s="14">
        <v>2024</v>
      </c>
      <c r="G4" s="14">
        <v>2025</v>
      </c>
    </row>
    <row r="5" spans="1:14">
      <c r="A5" s="21" t="s">
        <v>99</v>
      </c>
      <c r="B5" s="18">
        <v>19.46</v>
      </c>
      <c r="C5" s="18">
        <v>18.58</v>
      </c>
      <c r="D5" s="18">
        <v>18.03</v>
      </c>
      <c r="E5" s="18">
        <v>17.01</v>
      </c>
      <c r="F5" s="18">
        <v>14.66</v>
      </c>
      <c r="G5" s="18">
        <v>13.38</v>
      </c>
    </row>
    <row r="6" spans="1:14">
      <c r="A6" s="6" t="s">
        <v>100</v>
      </c>
      <c r="B6" s="19">
        <v>8.51</v>
      </c>
      <c r="C6" s="19">
        <v>8.09</v>
      </c>
      <c r="D6" s="19">
        <v>7.54</v>
      </c>
      <c r="E6" s="19">
        <v>6.5</v>
      </c>
      <c r="F6" s="19">
        <v>5.63</v>
      </c>
      <c r="G6" s="19">
        <v>5.63</v>
      </c>
    </row>
    <row r="7" spans="1:14">
      <c r="A7" s="9" t="s">
        <v>101</v>
      </c>
      <c r="B7" s="18"/>
      <c r="C7" s="18">
        <v>5.01</v>
      </c>
      <c r="D7" s="18">
        <v>5.14</v>
      </c>
      <c r="E7" s="18">
        <v>5.11</v>
      </c>
      <c r="F7" s="18">
        <v>5.24</v>
      </c>
      <c r="G7" s="18">
        <v>5.39</v>
      </c>
    </row>
    <row r="8" spans="1:14">
      <c r="A8" s="6" t="s">
        <v>102</v>
      </c>
      <c r="B8" s="19"/>
      <c r="C8" s="19"/>
      <c r="D8" s="19"/>
      <c r="E8" s="19">
        <v>2.47</v>
      </c>
      <c r="F8" s="19">
        <v>2.57</v>
      </c>
      <c r="G8" s="19">
        <v>2.71</v>
      </c>
    </row>
    <row r="9" spans="1:14">
      <c r="A9" s="9" t="s">
        <v>103</v>
      </c>
      <c r="B9" s="18">
        <v>2.54</v>
      </c>
      <c r="C9" s="18">
        <v>2.65</v>
      </c>
      <c r="D9" s="18">
        <v>2.75</v>
      </c>
      <c r="E9" s="18">
        <v>2.66</v>
      </c>
      <c r="F9" s="18">
        <v>2.47</v>
      </c>
      <c r="G9" s="18">
        <v>2.34</v>
      </c>
    </row>
    <row r="10" spans="1:14">
      <c r="A10" s="6" t="s">
        <v>104</v>
      </c>
      <c r="B10" s="19"/>
      <c r="C10" s="19"/>
      <c r="D10" s="19"/>
      <c r="E10" s="19">
        <v>2.35</v>
      </c>
      <c r="F10" s="19">
        <v>2.3</v>
      </c>
      <c r="G10" s="19">
        <v>2.33</v>
      </c>
    </row>
    <row r="11" spans="1:14">
      <c r="A11" s="9" t="s">
        <v>105</v>
      </c>
      <c r="B11" s="18"/>
      <c r="C11" s="18"/>
      <c r="D11" s="18"/>
      <c r="E11" s="18">
        <v>1.14</v>
      </c>
      <c r="F11" s="18">
        <v>1.23</v>
      </c>
      <c r="G11" s="18">
        <v>1.42</v>
      </c>
    </row>
    <row r="12" spans="1:14">
      <c r="A12" s="6" t="s">
        <v>106</v>
      </c>
      <c r="B12" s="19">
        <v>1.33</v>
      </c>
      <c r="C12" s="19">
        <v>1.26</v>
      </c>
      <c r="D12" s="19">
        <v>1.21</v>
      </c>
      <c r="E12" s="19">
        <v>1.25</v>
      </c>
      <c r="F12" s="19">
        <v>1.28</v>
      </c>
      <c r="G12" s="19">
        <v>1.32</v>
      </c>
    </row>
    <row r="13" spans="1:14">
      <c r="A13" s="9" t="s">
        <v>107</v>
      </c>
      <c r="B13" s="18">
        <v>0.16</v>
      </c>
      <c r="C13" s="18">
        <v>0.27</v>
      </c>
      <c r="D13" s="18">
        <v>0.41</v>
      </c>
      <c r="E13" s="18">
        <v>0.6899999999999999</v>
      </c>
      <c r="F13" s="18">
        <v>0.98</v>
      </c>
      <c r="G13" s="18">
        <v>1.24</v>
      </c>
    </row>
    <row r="15" spans="1:14">
      <c r="A15" s="11" t="s">
        <v>108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</sheetData>
  <mergeCells count="3">
    <mergeCell ref="A1:N1"/>
    <mergeCell ref="A2:N2"/>
    <mergeCell ref="A15:N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showGridLines="0" workbookViewId="0"/>
  </sheetViews>
  <sheetFormatPr defaultRowHeight="15"/>
  <cols>
    <col min="1" max="1" width="26.7109375" customWidth="1"/>
    <col min="2" max="6" width="12.7109375" customWidth="1"/>
  </cols>
  <sheetData>
    <row r="1" spans="1:14" ht="22" customHeight="1">
      <c r="A1" s="12" t="s">
        <v>109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" customHeight="1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6" customHeight="1">
      <c r="A4" s="14" t="s">
        <v>50</v>
      </c>
      <c r="B4" s="14" t="s">
        <v>61</v>
      </c>
      <c r="C4" s="20" t="s">
        <v>110</v>
      </c>
      <c r="D4" s="14" t="s">
        <v>111</v>
      </c>
    </row>
    <row r="5" spans="1:14">
      <c r="A5" s="21" t="s">
        <v>51</v>
      </c>
      <c r="B5" s="16">
        <v>1590</v>
      </c>
      <c r="C5" s="25">
        <v>4.1</v>
      </c>
      <c r="D5" s="28" t="s">
        <v>112</v>
      </c>
    </row>
    <row r="6" spans="1:14">
      <c r="A6" s="23" t="s">
        <v>52</v>
      </c>
      <c r="B6" s="16">
        <v>17136</v>
      </c>
      <c r="C6" s="29">
        <v>4.4</v>
      </c>
      <c r="D6" s="30" t="s">
        <v>112</v>
      </c>
    </row>
    <row r="7" spans="1:14">
      <c r="A7" s="21" t="s">
        <v>53</v>
      </c>
      <c r="B7" s="16">
        <v>7823</v>
      </c>
      <c r="C7" s="25">
        <v>4.1</v>
      </c>
      <c r="D7" s="28" t="s">
        <v>112</v>
      </c>
    </row>
    <row r="8" spans="1:14">
      <c r="A8" s="23" t="s">
        <v>54</v>
      </c>
      <c r="B8" s="16">
        <v>1244</v>
      </c>
      <c r="C8" s="29">
        <v>8.199999999999999</v>
      </c>
      <c r="D8" s="30" t="s">
        <v>112</v>
      </c>
    </row>
    <row r="9" spans="1:14">
      <c r="A9" s="21" t="s">
        <v>55</v>
      </c>
      <c r="B9" s="16">
        <v>9313</v>
      </c>
      <c r="C9" s="25">
        <v>4.7</v>
      </c>
      <c r="D9" s="28" t="s">
        <v>112</v>
      </c>
    </row>
  </sheetData>
  <mergeCells count="2">
    <mergeCell ref="A1:N1"/>
    <mergeCell ref="A2:N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4"/>
  <sheetViews>
    <sheetView showGridLines="0" workbookViewId="0"/>
  </sheetViews>
  <sheetFormatPr defaultRowHeight="15"/>
  <cols>
    <col min="1" max="1" width="30.7109375" customWidth="1"/>
    <col min="2" max="2" width="50.7109375" customWidth="1"/>
    <col min="3" max="3" width="22.7109375" customWidth="1"/>
  </cols>
  <sheetData>
    <row r="1" spans="1:3" ht="22" customHeight="1">
      <c r="A1" s="12" t="s">
        <v>113</v>
      </c>
      <c r="B1" s="12"/>
      <c r="C1" s="12"/>
    </row>
    <row r="2" spans="1:3" ht="14" customHeight="1">
      <c r="A2" s="13" t="s">
        <v>114</v>
      </c>
      <c r="B2" s="13"/>
      <c r="C2" s="13"/>
    </row>
    <row r="4" spans="1:3" ht="14" customHeight="1">
      <c r="A4" s="31" t="s">
        <v>115</v>
      </c>
      <c r="B4" s="31" t="s">
        <v>116</v>
      </c>
      <c r="C4" s="31" t="s">
        <v>117</v>
      </c>
    </row>
    <row r="5" spans="1:3" ht="32" customHeight="1">
      <c r="A5" s="32" t="s">
        <v>118</v>
      </c>
      <c r="B5" s="33" t="s">
        <v>119</v>
      </c>
      <c r="C5" s="34" t="s">
        <v>120</v>
      </c>
    </row>
    <row r="6" spans="1:3" ht="32" customHeight="1">
      <c r="A6" s="35" t="s">
        <v>121</v>
      </c>
      <c r="B6" s="36" t="s">
        <v>122</v>
      </c>
      <c r="C6" s="37" t="s">
        <v>123</v>
      </c>
    </row>
    <row r="7" spans="1:3" ht="32" customHeight="1">
      <c r="A7" s="32" t="s">
        <v>124</v>
      </c>
      <c r="B7" s="33" t="s">
        <v>125</v>
      </c>
      <c r="C7" s="34" t="s">
        <v>126</v>
      </c>
    </row>
    <row r="8" spans="1:3" ht="32" customHeight="1">
      <c r="A8" s="35" t="s">
        <v>127</v>
      </c>
      <c r="B8" s="36" t="s">
        <v>128</v>
      </c>
      <c r="C8" s="37" t="s">
        <v>129</v>
      </c>
    </row>
    <row r="9" spans="1:3" ht="32" customHeight="1">
      <c r="A9" s="32" t="s">
        <v>130</v>
      </c>
      <c r="B9" s="33" t="s">
        <v>131</v>
      </c>
      <c r="C9" s="34" t="s">
        <v>132</v>
      </c>
    </row>
    <row r="10" spans="1:3" ht="32" customHeight="1">
      <c r="A10" s="35" t="s">
        <v>133</v>
      </c>
      <c r="B10" s="36" t="s">
        <v>134</v>
      </c>
      <c r="C10" s="37" t="s">
        <v>135</v>
      </c>
    </row>
    <row r="11" spans="1:3" ht="32" customHeight="1">
      <c r="A11" s="32" t="s">
        <v>136</v>
      </c>
      <c r="B11" s="33" t="s">
        <v>137</v>
      </c>
      <c r="C11" s="34" t="s">
        <v>138</v>
      </c>
    </row>
    <row r="12" spans="1:3" ht="40" customHeight="1">
      <c r="A12" s="38" t="s">
        <v>139</v>
      </c>
      <c r="B12" s="39" t="s">
        <v>140</v>
      </c>
      <c r="C12" s="40" t="s">
        <v>141</v>
      </c>
    </row>
    <row r="14" spans="1:3">
      <c r="A14" s="11" t="s">
        <v>142</v>
      </c>
      <c r="B14" s="11"/>
      <c r="C14" s="11"/>
    </row>
  </sheetData>
  <mergeCells count="3">
    <mergeCell ref="A1:C1"/>
    <mergeCell ref="A2:C2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 · Capa</vt:lpstr>
      <vt:lpstr>01 · Mercado Total</vt:lpstr>
      <vt:lpstr>02 · Categorias</vt:lpstr>
      <vt:lpstr>03 · CAGR Categorias</vt:lpstr>
      <vt:lpstr>04 · Volume × Valor</vt:lpstr>
      <vt:lpstr>05 · Preço por kg</vt:lpstr>
      <vt:lpstr>06 · Coffee Beans</vt:lpstr>
      <vt:lpstr>07 · Canais</vt:lpstr>
      <vt:lpstr>08 · E-commerce</vt:lpstr>
      <vt:lpstr>09 · Empresas Top 7</vt:lpstr>
      <vt:lpstr>10 · Marcas Top 8</vt:lpstr>
      <vt:lpstr>11 · Oportunidade</vt:lpstr>
      <vt:lpstr>12 · Síntese Orfeu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Euromonitor US Coffee Analysis</dc:title>
  <dc:subject>US Coffee Market 2026</dc:subject>
  <dc:creator>Alquemia Consulting para Orfeu</dc:creator>
  <cp:lastModifiedBy>Alquemia Consulting para Orfeu</cp:lastModifiedBy>
  <dcterms:created xsi:type="dcterms:W3CDTF">2026-07-17T12:58:01Z</dcterms:created>
  <dcterms:modified xsi:type="dcterms:W3CDTF">2026-07-17T12:58:01Z</dcterms:modified>
</cp:coreProperties>
</file>