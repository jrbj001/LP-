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Distribuição Investimento" sheetId="2" state="visible" r:id="rId2"/>
    <sheet xmlns:r="http://schemas.openxmlformats.org/officeDocument/2006/relationships" name="Sensibilidade Receita" sheetId="3" state="visible" r:id="rId3"/>
    <sheet xmlns:r="http://schemas.openxmlformats.org/officeDocument/2006/relationships" name="Sensibilidade QLP" sheetId="4" state="visible" r:id="rId4"/>
    <sheet xmlns:r="http://schemas.openxmlformats.org/officeDocument/2006/relationships" name="Matriz Combinada" sheetId="5" state="visible" r:id="rId5"/>
    <sheet xmlns:r="http://schemas.openxmlformats.org/officeDocument/2006/relationships" name="Fonte — Quick W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2A5C2E"/>
      <sz val="14"/>
    </font>
    <font>
      <i val="1"/>
      <color rgb="006E6E6E"/>
      <sz val="9"/>
    </font>
    <font>
      <b val="1"/>
    </font>
    <font>
      <b val="1"/>
      <color rgb="00FFFFFF"/>
      <sz val="11"/>
    </font>
    <font>
      <b val="1"/>
      <color rgb="002A5C2E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2A5C2E"/>
      </patternFill>
    </fill>
    <fill>
      <patternFill patternType="solid">
        <fgColor rgb="00F0F0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9" fontId="0" fillId="0" borderId="1" pivotButton="0" quotePrefix="0" xfId="0"/>
    <xf numFmtId="9" fontId="0" fillId="3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165" fontId="0" fillId="0" borderId="1" pivotButton="0" quotePrefix="0" xfId="0"/>
    <xf numFmtId="165" fontId="0" fillId="3" borderId="1" pivotButton="0" quotePrefix="0" xfId="0"/>
    <xf numFmtId="0" fontId="3" fillId="0" borderId="1" pivotButton="0" quotePrefix="0" xfId="0"/>
    <xf numFmtId="0" fontId="6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9" fontId="0" fillId="0" borderId="0" pivotButton="0" quotePrefix="0" xfId="0"/>
    <xf numFmtId="10" fontId="0" fillId="0" borderId="1" pivotButton="0" quotePrefix="0" xfId="0"/>
    <xf numFmtId="166" fontId="0" fillId="0" borderId="1" pivotButton="0" quotePrefix="0" xfId="0"/>
    <xf numFmtId="10" fontId="0" fillId="3" borderId="1" pivotButton="0" quotePrefix="0" xfId="0"/>
    <xf numFmtId="166" fontId="0" fillId="3" borderId="1" pivotButton="0" quotePrefix="0" xfId="0"/>
    <xf numFmtId="10" fontId="0" fillId="0" borderId="0" pivotButton="0" quotePrefix="0" xfId="0"/>
    <xf numFmtId="2" fontId="0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5" customWidth="1" min="3" max="3"/>
  </cols>
  <sheetData>
    <row r="1">
      <c r="A1" s="1" t="inlineStr">
        <is>
          <t>PROPOSTA PIXELPULSELAB — PREMISSAS DA ANÁLISE DE SENSIBILIDADE</t>
        </is>
      </c>
    </row>
    <row r="2">
      <c r="A2" s="2" t="inlineStr">
        <is>
          <t>Fonte: proposta de trabalho PixelPulseLab (Order-to-Delivery → Adaptive Layer™ → LLM/agentes), Grupo Orfeu, 06/08/2026</t>
        </is>
      </c>
    </row>
    <row r="3">
      <c r="A3" s="3" t="inlineStr">
        <is>
          <t>Premissa</t>
        </is>
      </c>
      <c r="B3" s="3" t="inlineStr">
        <is>
          <t>Valor</t>
        </is>
      </c>
      <c r="C3" s="3" t="inlineStr">
        <is>
          <t>Nota</t>
        </is>
      </c>
    </row>
    <row r="4">
      <c r="A4" s="4" t="inlineStr">
        <is>
          <t>Investimento mínimo (proposta)</t>
        </is>
      </c>
      <c r="B4" s="5" t="n">
        <v>960000</v>
      </c>
      <c r="C4" s="6" t="inlineStr">
        <is>
          <t>R$ — engagement mensal R$120k × 8 meses</t>
        </is>
      </c>
    </row>
    <row r="5">
      <c r="A5" s="7" t="inlineStr">
        <is>
          <t>Investimento máximo (proposta)</t>
        </is>
      </c>
      <c r="B5" s="8" t="n">
        <v>1040000</v>
      </c>
      <c r="C5" s="9" t="inlineStr">
        <is>
          <t>R$ — engagement mensal R$130k × 8 meses</t>
        </is>
      </c>
    </row>
    <row r="6">
      <c r="A6" s="4" t="inlineStr">
        <is>
          <t>Investimento médio (base da análise)</t>
        </is>
      </c>
      <c r="B6" s="4">
        <f>AVERAGE(B4:B5)</f>
        <v/>
      </c>
      <c r="C6" s="6" t="inlineStr">
        <is>
          <t>R$ — ponto médio usado nas sensibilidades</t>
        </is>
      </c>
    </row>
    <row r="7">
      <c r="A7" s="7" t="inlineStr">
        <is>
          <t>Horizonte do engagement</t>
        </is>
      </c>
      <c r="B7" s="8" t="n">
        <v>8</v>
      </c>
      <c r="C7" s="9" t="inlineStr">
        <is>
          <t>meses</t>
        </is>
      </c>
    </row>
    <row r="8">
      <c r="A8" s="4" t="inlineStr">
        <is>
          <t>Margem de contribuição (cenário Receita)</t>
        </is>
      </c>
      <c r="B8" s="10" t="n">
        <v>0.3</v>
      </c>
      <c r="C8" s="6" t="inlineStr">
        <is>
          <t>Premissa fornecida pela Orfeu</t>
        </is>
      </c>
    </row>
    <row r="9">
      <c r="A9" s="7" t="inlineStr">
        <is>
          <t>Custo médio QLP por pessoa/mês</t>
        </is>
      </c>
      <c r="B9" s="8" t="n">
        <v>15000</v>
      </c>
      <c r="C9" s="9" t="inlineStr">
        <is>
          <t>Premissa fornecida pela Orfeu (custo carregado)</t>
        </is>
      </c>
    </row>
    <row r="10">
      <c r="A10" s="4" t="inlineStr">
        <is>
          <t>Receita base 2026 (referência)</t>
        </is>
      </c>
      <c r="B10" s="5" t="n">
        <v>170000000</v>
      </c>
      <c r="C10" s="6" t="inlineStr">
        <is>
          <t>R$ — Plano de Ação Orfeu, validado 07/08/2026</t>
        </is>
      </c>
    </row>
    <row r="11">
      <c r="A11" s="7" t="inlineStr">
        <is>
          <t>% do investimento alocado a áreas (M1 Piloto + M3 Rollout QWs)</t>
        </is>
      </c>
      <c r="B11" s="11" t="n">
        <v>0.4</v>
      </c>
      <c r="C11" s="9" t="inlineStr">
        <is>
          <t>Milestones que entregam os 10 quick wins específicos</t>
        </is>
      </c>
    </row>
    <row r="12">
      <c r="A12" s="4" t="inlineStr">
        <is>
          <t>% do investimento em infraestrutura compartilhada (M0+M2+M4+M5)</t>
        </is>
      </c>
      <c r="B12" s="10">
        <f>1-B11</f>
        <v/>
      </c>
      <c r="C12" s="6" t="inlineStr">
        <is>
          <t>Mobilização, Adaptive Layer™, produção, LLM/agentes</t>
        </is>
      </c>
    </row>
    <row r="13">
      <c r="A13" s="7" t="inlineStr">
        <is>
          <t>% da infra compartilhada atribuída à lente Receita</t>
        </is>
      </c>
      <c r="B13" s="11" t="n">
        <v>0.5</v>
      </c>
      <c r="C13" s="9" t="inlineStr">
        <is>
          <t>Premissa de modelagem — infraestrutura beneficia ambas as lentes</t>
        </is>
      </c>
    </row>
    <row r="14">
      <c r="A14" s="4" t="inlineStr">
        <is>
          <t>% da infra compartilhada atribuída à lente QLP</t>
        </is>
      </c>
      <c r="B14" s="10">
        <f>1-B13</f>
        <v/>
      </c>
      <c r="C14" s="6" t="inlineStr">
        <is>
          <t>Premissa de modelagem — infraestrutura beneficia ambas as lentes</t>
        </is>
      </c>
    </row>
    <row r="17">
      <c r="A17" s="12" t="inlineStr">
        <is>
          <t>Nota metodológica</t>
        </is>
      </c>
    </row>
    <row r="18" ht="100" customHeight="1">
      <c r="A18" s="13" t="inlineStr">
        <is>
          <t>A proposta da PixelPulseLab não segmenta o investimento por 'meios vs. canais diretos' — é uma proposta de automação de sistemas (order-to-delivery), não de mídia. Esta análise usa duas lentes reais extraídas da proposta: (1) MEIOS = squad/papel alocado (Tech Lead, Devs, IA, QA), por horas; (2) CANAL/ÁREA = área de negócio da Orfeu tocada pelos 10 quick wins (Comercial, Financeiro, Logística, Jurídico, Backoffice, Pós-venda). A atribuição de benefício (Receita vs. QLP) por área segue a natureza de cada quick win, conforme descrito na própria proposta (ver aba 'Fonte — Quick Wins').</t>
        </is>
      </c>
    </row>
    <row r="19"/>
    <row r="20"/>
    <row r="21"/>
    <row r="22"/>
  </sheetData>
  <mergeCells count="1">
    <mergeCell ref="A18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6" customWidth="1" min="5" max="5"/>
    <col width="16" customWidth="1" min="6" max="6"/>
  </cols>
  <sheetData>
    <row r="1">
      <c r="A1" s="1" t="inlineStr">
        <is>
          <t>COMO O INVESTIMENTO ESTÁ DISTRIBUÍDO</t>
        </is>
      </c>
    </row>
    <row r="3">
      <c r="A3" s="14" t="inlineStr">
        <is>
          <t>1. Por MEIOS — squad alocado (base: horas × 8 meses)</t>
        </is>
      </c>
    </row>
    <row r="4">
      <c r="A4" s="3" t="inlineStr">
        <is>
          <t>Papel</t>
        </is>
      </c>
      <c r="B4" s="3" t="inlineStr">
        <is>
          <t>Dedicação</t>
        </is>
      </c>
      <c r="C4" s="3" t="inlineStr">
        <is>
          <t>h/mês</t>
        </is>
      </c>
      <c r="D4" s="3" t="inlineStr">
        <is>
          <t>h totais (8m)</t>
        </is>
      </c>
      <c r="E4" s="3" t="inlineStr">
        <is>
          <t>% do total</t>
        </is>
      </c>
      <c r="F4" s="3" t="inlineStr">
        <is>
          <t>R$ alocado (base)</t>
        </is>
      </c>
    </row>
    <row r="5">
      <c r="A5" s="4" t="inlineStr">
        <is>
          <t>Tech Lead / Arquiteto de integrações</t>
        </is>
      </c>
      <c r="B5" s="4" t="inlineStr">
        <is>
          <t>Parcial</t>
        </is>
      </c>
      <c r="C5" s="4" t="n">
        <v>60</v>
      </c>
      <c r="D5" s="4">
        <f>C5*Premissas!$B$7</f>
        <v/>
      </c>
      <c r="E5" s="15">
        <f>D5/D$10</f>
        <v/>
      </c>
      <c r="F5" s="5">
        <f>E5*Premissas!$B$6</f>
        <v/>
      </c>
    </row>
    <row r="6">
      <c r="A6" s="7" t="inlineStr">
        <is>
          <t>Dev sênior back-end / integrações</t>
        </is>
      </c>
      <c r="B6" s="7" t="inlineStr">
        <is>
          <t>Dedicado (full-time)</t>
        </is>
      </c>
      <c r="C6" s="7" t="n">
        <v>168</v>
      </c>
      <c r="D6" s="7">
        <f>C6*Premissas!$B$7</f>
        <v/>
      </c>
      <c r="E6" s="16">
        <f>D6/D$10</f>
        <v/>
      </c>
      <c r="F6" s="8">
        <f>E6*Premissas!$B$6</f>
        <v/>
      </c>
    </row>
    <row r="7">
      <c r="A7" s="4" t="inlineStr">
        <is>
          <t>Dev pleno full-stack</t>
        </is>
      </c>
      <c r="B7" s="4" t="inlineStr">
        <is>
          <t>Dedicado</t>
        </is>
      </c>
      <c r="C7" s="4" t="n">
        <v>132</v>
      </c>
      <c r="D7" s="4">
        <f>C7*Premissas!$B$7</f>
        <v/>
      </c>
      <c r="E7" s="15">
        <f>D7/D$10</f>
        <v/>
      </c>
      <c r="F7" s="5">
        <f>E7*Premissas!$B$6</f>
        <v/>
      </c>
    </row>
    <row r="8">
      <c r="A8" s="7" t="inlineStr">
        <is>
          <t>Especialista IA / agentes</t>
        </is>
      </c>
      <c r="B8" s="7" t="inlineStr">
        <is>
          <t>Parcial</t>
        </is>
      </c>
      <c r="C8" s="7" t="n">
        <v>50</v>
      </c>
      <c r="D8" s="7">
        <f>C8*Premissas!$B$7</f>
        <v/>
      </c>
      <c r="E8" s="16">
        <f>D8/D$10</f>
        <v/>
      </c>
      <c r="F8" s="8">
        <f>E8*Premissas!$B$6</f>
        <v/>
      </c>
    </row>
    <row r="9">
      <c r="A9" s="4" t="inlineStr">
        <is>
          <t>QA / automação de testes</t>
        </is>
      </c>
      <c r="B9" s="4" t="inlineStr">
        <is>
          <t>Parcial</t>
        </is>
      </c>
      <c r="C9" s="4" t="n">
        <v>50</v>
      </c>
      <c r="D9" s="4">
        <f>C9*Premissas!$B$7</f>
        <v/>
      </c>
      <c r="E9" s="15">
        <f>D9/D$10</f>
        <v/>
      </c>
      <c r="F9" s="5">
        <f>E9*Premissas!$B$6</f>
        <v/>
      </c>
    </row>
    <row r="10">
      <c r="A10" s="17" t="inlineStr">
        <is>
          <t>Total</t>
        </is>
      </c>
      <c r="B10" s="4" t="n"/>
      <c r="C10" s="17">
        <f>SUM(C5:C9)</f>
        <v/>
      </c>
      <c r="D10" s="17">
        <f>SUM(D5:D9)</f>
        <v/>
      </c>
      <c r="E10" s="15">
        <f>D10/D$10</f>
        <v/>
      </c>
      <c r="F10" s="5">
        <f>E10*Premissas!$B$6</f>
        <v/>
      </c>
    </row>
    <row r="13">
      <c r="A13" s="14" t="inlineStr">
        <is>
          <t>2. Por CANAL/ÁREA — negócio tocado pelos 10 quick wins</t>
        </is>
      </c>
    </row>
    <row r="14">
      <c r="A14" s="3" t="inlineStr">
        <is>
          <t>Área</t>
        </is>
      </c>
      <c r="B14" s="3" t="inlineStr">
        <is>
          <t># Quick Wins</t>
        </is>
      </c>
      <c r="C14" s="3" t="inlineStr">
        <is>
          <t>Lente de benefício</t>
        </is>
      </c>
      <c r="D14" s="3" t="inlineStr">
        <is>
          <t>% do investimento área-específico</t>
        </is>
      </c>
      <c r="E14" s="3" t="inlineStr">
        <is>
          <t>R$ alocado</t>
        </is>
      </c>
    </row>
    <row r="15">
      <c r="A15" s="4" t="inlineStr">
        <is>
          <t>Comercial</t>
        </is>
      </c>
      <c r="B15" s="4" t="n">
        <v>3</v>
      </c>
      <c r="C15" s="4" t="inlineStr">
        <is>
          <t>Receita</t>
        </is>
      </c>
      <c r="D15" s="15">
        <f>B15/B$21</f>
        <v/>
      </c>
      <c r="E15" s="5">
        <f>D15*Premissas!$B$6*Premissas!$B$11</f>
        <v/>
      </c>
    </row>
    <row r="16">
      <c r="A16" s="7" t="inlineStr">
        <is>
          <t>Financeiro</t>
        </is>
      </c>
      <c r="B16" s="7" t="n">
        <v>2</v>
      </c>
      <c r="C16" s="7" t="inlineStr">
        <is>
          <t>QLP</t>
        </is>
      </c>
      <c r="D16" s="16">
        <f>B16/B$21</f>
        <v/>
      </c>
      <c r="E16" s="8">
        <f>D16*Premissas!$B$6*Premissas!$B$11</f>
        <v/>
      </c>
    </row>
    <row r="17">
      <c r="A17" s="4" t="inlineStr">
        <is>
          <t>Logística</t>
        </is>
      </c>
      <c r="B17" s="4" t="n">
        <v>2</v>
      </c>
      <c r="C17" s="4" t="inlineStr">
        <is>
          <t>QLP</t>
        </is>
      </c>
      <c r="D17" s="15">
        <f>B17/B$21</f>
        <v/>
      </c>
      <c r="E17" s="5">
        <f>D17*Premissas!$B$6*Premissas!$B$11</f>
        <v/>
      </c>
    </row>
    <row r="18">
      <c r="A18" s="7" t="inlineStr">
        <is>
          <t>Jurídico</t>
        </is>
      </c>
      <c r="B18" s="7" t="n">
        <v>1</v>
      </c>
      <c r="C18" s="7" t="inlineStr">
        <is>
          <t>QLP</t>
        </is>
      </c>
      <c r="D18" s="16">
        <f>B18/B$21</f>
        <v/>
      </c>
      <c r="E18" s="8">
        <f>D18*Premissas!$B$6*Premissas!$B$11</f>
        <v/>
      </c>
    </row>
    <row r="19">
      <c r="A19" s="4" t="inlineStr">
        <is>
          <t>Backoffice</t>
        </is>
      </c>
      <c r="B19" s="4" t="n">
        <v>1</v>
      </c>
      <c r="C19" s="4" t="inlineStr">
        <is>
          <t>Receita</t>
        </is>
      </c>
      <c r="D19" s="15">
        <f>B19/B$21</f>
        <v/>
      </c>
      <c r="E19" s="5">
        <f>D19*Premissas!$B$6*Premissas!$B$11</f>
        <v/>
      </c>
    </row>
    <row r="20">
      <c r="A20" s="7" t="inlineStr">
        <is>
          <t>Pós-venda</t>
        </is>
      </c>
      <c r="B20" s="7" t="n">
        <v>1</v>
      </c>
      <c r="C20" s="7" t="inlineStr">
        <is>
          <t>Receita</t>
        </is>
      </c>
      <c r="D20" s="16">
        <f>B20/B$21</f>
        <v/>
      </c>
      <c r="E20" s="8">
        <f>D20*Premissas!$B$6*Premissas!$B$11</f>
        <v/>
      </c>
    </row>
    <row r="21">
      <c r="A21" s="17" t="inlineStr">
        <is>
          <t>Total (área-específico)</t>
        </is>
      </c>
      <c r="B21" s="17">
        <f>SUM(B15:B20)</f>
        <v/>
      </c>
      <c r="C21" s="4" t="n"/>
      <c r="D21" s="15">
        <f>B21/B$21</f>
        <v/>
      </c>
      <c r="E21" s="5">
        <f>D21*Premissas!$B$6*Premissas!$B$11</f>
        <v/>
      </c>
    </row>
    <row r="23">
      <c r="A23" s="18" t="inlineStr">
        <is>
          <t>Infraestrutura compartilhada (M0 Mobilização + M2 Adaptive Layer™ + M4 Produção + M5 LLM/Agentes)</t>
        </is>
      </c>
      <c r="E23" s="19">
        <f>Premissas!$B$6*(1-Premissas!$B$11)</f>
        <v/>
      </c>
    </row>
    <row r="26">
      <c r="A26" s="14" t="inlineStr">
        <is>
          <t>3. Investimento por LENTE DE BENEFÍCIO (para a sensibilidade)</t>
        </is>
      </c>
    </row>
    <row r="27">
      <c r="A27" s="3" t="inlineStr">
        <is>
          <t>Lente</t>
        </is>
      </c>
      <c r="B27" s="3" t="inlineStr">
        <is>
          <t>Investimento área-específico</t>
        </is>
      </c>
      <c r="C27" s="3" t="inlineStr">
        <is>
          <t>+ parcela infra compartilhada</t>
        </is>
      </c>
      <c r="D27" s="3" t="inlineStr">
        <is>
          <t>Investimento total na lente</t>
        </is>
      </c>
    </row>
    <row r="28">
      <c r="A28" s="4" t="inlineStr">
        <is>
          <t>Receita (Comercial + Backoffice + Pós-venda)</t>
        </is>
      </c>
      <c r="B28" s="5">
        <f>SUMIF(C15:C20,"Receita",E15:E20)</f>
        <v/>
      </c>
      <c r="C28" s="5">
        <f>Premissas!$B$6*(1-Premissas!$B$11)*Premissas!$B$13</f>
        <v/>
      </c>
      <c r="D28" s="5">
        <f>B28+C28</f>
        <v/>
      </c>
    </row>
    <row r="29">
      <c r="A29" s="4" t="inlineStr">
        <is>
          <t>QLP (Financeiro + Logística + Jurídico)</t>
        </is>
      </c>
      <c r="B29" s="5">
        <f>SUMIF(C15:C20,"QLP",E15:E20)</f>
        <v/>
      </c>
      <c r="C29" s="5">
        <f>Premissas!$B$6*(1-Premissas!$B$11)*Premissas!$B$14</f>
        <v/>
      </c>
      <c r="D29" s="5">
        <f>B29+C29</f>
        <v/>
      </c>
    </row>
  </sheetData>
  <mergeCells count="1">
    <mergeCell ref="A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SENSIBILIDADE — CENÁRIO RECEITA (margem de contribuição 30%)</t>
        </is>
      </c>
    </row>
    <row r="2" ht="28" customHeight="1">
      <c r="A2" s="20" t="inlineStr">
        <is>
          <t>Lentes de benefício: Comercial (leads/propostas mais rápidos), Backoffice (menos ruptura → receita recuperada), Pós-venda (recompra). Fonte: expectedGain dos quick wins QW-01, QW-02, QW-03, QW-05, QW-10.</t>
        </is>
      </c>
    </row>
    <row r="4">
      <c r="A4" s="12" t="inlineStr">
        <is>
          <t>Investimento na lente Receita</t>
        </is>
      </c>
      <c r="B4" s="19">
        <f>'Distribuição Investimento'!D28</f>
        <v/>
      </c>
    </row>
    <row r="5">
      <c r="A5" s="12" t="inlineStr">
        <is>
          <t>Receita base 2026 (referência)</t>
        </is>
      </c>
      <c r="B5" s="19">
        <f>Premissas!B10</f>
        <v/>
      </c>
    </row>
    <row r="6">
      <c r="A6" s="12" t="inlineStr">
        <is>
          <t>Margem de contribuição</t>
        </is>
      </c>
      <c r="B6" s="21">
        <f>Premissas!B8</f>
        <v/>
      </c>
    </row>
    <row r="8">
      <c r="A8" s="3" t="inlineStr">
        <is>
          <t>% de aumento de receita (anual)</t>
        </is>
      </c>
      <c r="B8" s="3" t="inlineStr">
        <is>
          <t>Receita incremental anual</t>
        </is>
      </c>
      <c r="C8" s="3" t="inlineStr">
        <is>
          <t>Benefício anual (margem)</t>
        </is>
      </c>
      <c r="D8" s="3" t="inlineStr">
        <is>
          <t>Payback (meses)</t>
        </is>
      </c>
      <c r="E8" s="3" t="inlineStr">
        <is>
          <t>ROI ano 1</t>
        </is>
      </c>
    </row>
    <row r="9">
      <c r="A9" s="22" t="n">
        <v>0.0025</v>
      </c>
      <c r="B9" s="5">
        <f>A9*$B$5</f>
        <v/>
      </c>
      <c r="C9" s="5">
        <f>B9*$B$6</f>
        <v/>
      </c>
      <c r="D9" s="23">
        <f>$B$4/C9*12</f>
        <v/>
      </c>
      <c r="E9" s="10">
        <f>(C9-$B$4)/$B$4</f>
        <v/>
      </c>
    </row>
    <row r="10">
      <c r="A10" s="24" t="n">
        <v>0.005</v>
      </c>
      <c r="B10" s="8">
        <f>A10*$B$5</f>
        <v/>
      </c>
      <c r="C10" s="8">
        <f>B10*$B$6</f>
        <v/>
      </c>
      <c r="D10" s="25">
        <f>$B$4/C10*12</f>
        <v/>
      </c>
      <c r="E10" s="11">
        <f>(C10-$B$4)/$B$4</f>
        <v/>
      </c>
    </row>
    <row r="11">
      <c r="A11" s="22" t="n">
        <v>0.0075</v>
      </c>
      <c r="B11" s="5">
        <f>A11*$B$5</f>
        <v/>
      </c>
      <c r="C11" s="5">
        <f>B11*$B$6</f>
        <v/>
      </c>
      <c r="D11" s="23">
        <f>$B$4/C11*12</f>
        <v/>
      </c>
      <c r="E11" s="10">
        <f>(C11-$B$4)/$B$4</f>
        <v/>
      </c>
    </row>
    <row r="12">
      <c r="A12" s="24" t="n">
        <v>0.01</v>
      </c>
      <c r="B12" s="8">
        <f>A12*$B$5</f>
        <v/>
      </c>
      <c r="C12" s="8">
        <f>B12*$B$6</f>
        <v/>
      </c>
      <c r="D12" s="25">
        <f>$B$4/C12*12</f>
        <v/>
      </c>
      <c r="E12" s="11">
        <f>(C12-$B$4)/$B$4</f>
        <v/>
      </c>
    </row>
    <row r="13">
      <c r="A13" s="22" t="n">
        <v>0.0125</v>
      </c>
      <c r="B13" s="5">
        <f>A13*$B$5</f>
        <v/>
      </c>
      <c r="C13" s="5">
        <f>B13*$B$6</f>
        <v/>
      </c>
      <c r="D13" s="23">
        <f>$B$4/C13*12</f>
        <v/>
      </c>
      <c r="E13" s="10">
        <f>(C13-$B$4)/$B$4</f>
        <v/>
      </c>
    </row>
    <row r="14">
      <c r="A14" s="24" t="n">
        <v>0.015</v>
      </c>
      <c r="B14" s="8">
        <f>A14*$B$5</f>
        <v/>
      </c>
      <c r="C14" s="8">
        <f>B14*$B$6</f>
        <v/>
      </c>
      <c r="D14" s="25">
        <f>$B$4/C14*12</f>
        <v/>
      </c>
      <c r="E14" s="11">
        <f>(C14-$B$4)/$B$4</f>
        <v/>
      </c>
    </row>
    <row r="15">
      <c r="A15" s="22" t="n">
        <v>0.02</v>
      </c>
      <c r="B15" s="5">
        <f>A15*$B$5</f>
        <v/>
      </c>
      <c r="C15" s="5">
        <f>B15*$B$6</f>
        <v/>
      </c>
      <c r="D15" s="23">
        <f>$B$4/C15*12</f>
        <v/>
      </c>
      <c r="E15" s="10">
        <f>(C15-$B$4)/$B$4</f>
        <v/>
      </c>
    </row>
    <row r="16">
      <c r="A16" s="24" t="n">
        <v>0.025</v>
      </c>
      <c r="B16" s="8">
        <f>A16*$B$5</f>
        <v/>
      </c>
      <c r="C16" s="8">
        <f>B16*$B$6</f>
        <v/>
      </c>
      <c r="D16" s="25">
        <f>$B$4/C16*12</f>
        <v/>
      </c>
      <c r="E16" s="11">
        <f>(C16-$B$4)/$B$4</f>
        <v/>
      </c>
    </row>
    <row r="17">
      <c r="A17" s="22" t="n">
        <v>0.03</v>
      </c>
      <c r="B17" s="5">
        <f>A17*$B$5</f>
        <v/>
      </c>
      <c r="C17" s="5">
        <f>B17*$B$6</f>
        <v/>
      </c>
      <c r="D17" s="23">
        <f>$B$4/C17*12</f>
        <v/>
      </c>
      <c r="E17" s="10">
        <f>(C17-$B$4)/$B$4</f>
        <v/>
      </c>
    </row>
    <row r="19">
      <c r="A19" s="12" t="inlineStr">
        <is>
          <t>Breakeven exato (payback = 12 meses)</t>
        </is>
      </c>
    </row>
    <row r="20">
      <c r="A20" t="inlineStr">
        <is>
          <t>% de aumento de receita necessário</t>
        </is>
      </c>
      <c r="B20" s="26">
        <f>($B$4/$B$6)/$B$5</f>
        <v/>
      </c>
    </row>
    <row r="21">
      <c r="A21" t="inlineStr">
        <is>
          <t>Receita incremental necessária (R$)</t>
        </is>
      </c>
      <c r="B21" s="19">
        <f>$B$4/$B$6</f>
        <v/>
      </c>
    </row>
  </sheetData>
  <mergeCells count="1">
    <mergeCell ref="A2:F2"/>
  </mergeCells>
  <conditionalFormatting sqref="D9:D17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SENSIBILIDADE — CENÁRIO ECONOMIA DE QLP (R$15k/pessoa/mês)</t>
        </is>
      </c>
    </row>
    <row r="2" ht="28" customHeight="1">
      <c r="A2" s="20" t="inlineStr">
        <is>
          <t>Lentes de benefício: Financeiro (faturamento/crédito sem intervenção manual), Logística (separação sem papel, menos reentrega), Jurídico (contrato digital). Fonte: businessRisk/expectedGain dos quick wins QW-04, QW-06, QW-07, QW-08, QW-09.</t>
        </is>
      </c>
    </row>
    <row r="4">
      <c r="A4" s="12" t="inlineStr">
        <is>
          <t>Investimento na lente QLP</t>
        </is>
      </c>
      <c r="B4" s="19">
        <f>'Distribuição Investimento'!D29</f>
        <v/>
      </c>
    </row>
    <row r="5">
      <c r="A5" s="12" t="inlineStr">
        <is>
          <t>Custo médio QLP por pessoa/mês</t>
        </is>
      </c>
      <c r="B5" s="19">
        <f>Premissas!B9</f>
        <v/>
      </c>
    </row>
    <row r="6">
      <c r="A6" s="12" t="inlineStr">
        <is>
          <t>Custo anual por pessoa (headcount equivalente)</t>
        </is>
      </c>
      <c r="B6" s="19">
        <f>B5*12</f>
        <v/>
      </c>
    </row>
    <row r="8">
      <c r="A8" s="3" t="inlineStr">
        <is>
          <t>FTEs de trabalho manual eliminados</t>
        </is>
      </c>
      <c r="B8" s="3" t="inlineStr">
        <is>
          <t>Economia anual</t>
        </is>
      </c>
      <c r="C8" s="3" t="inlineStr">
        <is>
          <t>Payback (meses)</t>
        </is>
      </c>
      <c r="D8" s="3" t="inlineStr">
        <is>
          <t>ROI ano 1</t>
        </is>
      </c>
    </row>
    <row r="9">
      <c r="A9" s="4" t="n">
        <v>0.5</v>
      </c>
      <c r="B9" s="5">
        <f>A9*$B$6</f>
        <v/>
      </c>
      <c r="C9" s="23">
        <f>$B$4/B9*12</f>
        <v/>
      </c>
      <c r="D9" s="10">
        <f>(B9-$B$4)/$B$4</f>
        <v/>
      </c>
    </row>
    <row r="10">
      <c r="A10" s="7" t="n">
        <v>1</v>
      </c>
      <c r="B10" s="8">
        <f>A10*$B$6</f>
        <v/>
      </c>
      <c r="C10" s="25">
        <f>$B$4/B10*12</f>
        <v/>
      </c>
      <c r="D10" s="11">
        <f>(B10-$B$4)/$B$4</f>
        <v/>
      </c>
    </row>
    <row r="11">
      <c r="A11" s="4" t="n">
        <v>1.5</v>
      </c>
      <c r="B11" s="5">
        <f>A11*$B$6</f>
        <v/>
      </c>
      <c r="C11" s="23">
        <f>$B$4/B11*12</f>
        <v/>
      </c>
      <c r="D11" s="10">
        <f>(B11-$B$4)/$B$4</f>
        <v/>
      </c>
    </row>
    <row r="12">
      <c r="A12" s="7" t="n">
        <v>2</v>
      </c>
      <c r="B12" s="8">
        <f>A12*$B$6</f>
        <v/>
      </c>
      <c r="C12" s="25">
        <f>$B$4/B12*12</f>
        <v/>
      </c>
      <c r="D12" s="11">
        <f>(B12-$B$4)/$B$4</f>
        <v/>
      </c>
    </row>
    <row r="13">
      <c r="A13" s="4" t="n">
        <v>2.5</v>
      </c>
      <c r="B13" s="5">
        <f>A13*$B$6</f>
        <v/>
      </c>
      <c r="C13" s="23">
        <f>$B$4/B13*12</f>
        <v/>
      </c>
      <c r="D13" s="10">
        <f>(B13-$B$4)/$B$4</f>
        <v/>
      </c>
    </row>
    <row r="14">
      <c r="A14" s="7" t="n">
        <v>3</v>
      </c>
      <c r="B14" s="8">
        <f>A14*$B$6</f>
        <v/>
      </c>
      <c r="C14" s="25">
        <f>$B$4/B14*12</f>
        <v/>
      </c>
      <c r="D14" s="11">
        <f>(B14-$B$4)/$B$4</f>
        <v/>
      </c>
    </row>
    <row r="15">
      <c r="A15" s="4" t="n">
        <v>4</v>
      </c>
      <c r="B15" s="5">
        <f>A15*$B$6</f>
        <v/>
      </c>
      <c r="C15" s="23">
        <f>$B$4/B15*12</f>
        <v/>
      </c>
      <c r="D15" s="10">
        <f>(B15-$B$4)/$B$4</f>
        <v/>
      </c>
    </row>
    <row r="16">
      <c r="A16" s="7" t="n">
        <v>5</v>
      </c>
      <c r="B16" s="8">
        <f>A16*$B$6</f>
        <v/>
      </c>
      <c r="C16" s="25">
        <f>$B$4/B16*12</f>
        <v/>
      </c>
      <c r="D16" s="11">
        <f>(B16-$B$4)/$B$4</f>
        <v/>
      </c>
    </row>
    <row r="18">
      <c r="A18" s="12" t="inlineStr">
        <is>
          <t>Breakeven exato (payback = 12 meses)</t>
        </is>
      </c>
    </row>
    <row r="19">
      <c r="A19" t="inlineStr">
        <is>
          <t>FTEs necessários</t>
        </is>
      </c>
      <c r="B19" s="27">
        <f>$B$4/$B$6</f>
        <v/>
      </c>
    </row>
  </sheetData>
  <mergeCells count="1">
    <mergeCell ref="A2:F2"/>
  </mergeCells>
  <conditionalFormatting sqref="C9:C16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MATRIZ COMBINADA — PAYBACK (MESES) DO INVESTIMENTO TOTAL</t>
        </is>
      </c>
    </row>
    <row r="2" ht="28" customHeight="1">
      <c r="A2" s="20" t="inlineStr">
        <is>
          <t>Combina as duas lentes sobre o investimento total (R$960k–1.040k, base R$1M): linhas = % de aumento de receita · colunas = FTEs de trabalho manual eliminados. Célula = payback em meses do programa completo.</t>
        </is>
      </c>
    </row>
    <row r="4">
      <c r="A4" s="12" t="inlineStr">
        <is>
          <t>Investimento total (base)</t>
        </is>
      </c>
      <c r="B4" s="19">
        <f>Premissas!B6</f>
        <v/>
      </c>
    </row>
    <row r="6">
      <c r="A6" s="3" t="inlineStr">
        <is>
          <t>% receita ↓ / FTEs →</t>
        </is>
      </c>
      <c r="B6" s="3" t="n">
        <v>0.5</v>
      </c>
      <c r="C6" s="3" t="n">
        <v>1</v>
      </c>
      <c r="D6" s="3" t="n">
        <v>1.5</v>
      </c>
      <c r="E6" s="3" t="n">
        <v>2</v>
      </c>
      <c r="F6" s="3" t="n">
        <v>2.5</v>
      </c>
      <c r="G6" s="3" t="n">
        <v>3</v>
      </c>
      <c r="H6" s="3" t="n">
        <v>4</v>
      </c>
      <c r="I6" s="3" t="n">
        <v>5</v>
      </c>
    </row>
    <row r="7">
      <c r="A7" s="28" t="n">
        <v>0.0025</v>
      </c>
      <c r="B7" s="23">
        <f>$B$4/((A7*Premissas!$B$10*Premissas!$B$8) + (B$6*Premissas!$B$9*12))*12</f>
        <v/>
      </c>
      <c r="C7" s="23">
        <f>$B$4/((A7*Premissas!$B$10*Premissas!$B$8) + (C$6*Premissas!$B$9*12))*12</f>
        <v/>
      </c>
      <c r="D7" s="23">
        <f>$B$4/((A7*Premissas!$B$10*Premissas!$B$8) + (D$6*Premissas!$B$9*12))*12</f>
        <v/>
      </c>
      <c r="E7" s="23">
        <f>$B$4/((A7*Premissas!$B$10*Premissas!$B$8) + (E$6*Premissas!$B$9*12))*12</f>
        <v/>
      </c>
      <c r="F7" s="23">
        <f>$B$4/((A7*Premissas!$B$10*Premissas!$B$8) + (F$6*Premissas!$B$9*12))*12</f>
        <v/>
      </c>
      <c r="G7" s="23">
        <f>$B$4/((A7*Premissas!$B$10*Premissas!$B$8) + (G$6*Premissas!$B$9*12))*12</f>
        <v/>
      </c>
      <c r="H7" s="23">
        <f>$B$4/((A7*Premissas!$B$10*Premissas!$B$8) + (H$6*Premissas!$B$9*12))*12</f>
        <v/>
      </c>
      <c r="I7" s="23">
        <f>$B$4/((A7*Premissas!$B$10*Premissas!$B$8) + (I$6*Premissas!$B$9*12))*12</f>
        <v/>
      </c>
    </row>
    <row r="8">
      <c r="A8" s="28" t="n">
        <v>0.005</v>
      </c>
      <c r="B8" s="23">
        <f>$B$4/((A8*Premissas!$B$10*Premissas!$B$8) + (B$6*Premissas!$B$9*12))*12</f>
        <v/>
      </c>
      <c r="C8" s="23">
        <f>$B$4/((A8*Premissas!$B$10*Premissas!$B$8) + (C$6*Premissas!$B$9*12))*12</f>
        <v/>
      </c>
      <c r="D8" s="23">
        <f>$B$4/((A8*Premissas!$B$10*Premissas!$B$8) + (D$6*Premissas!$B$9*12))*12</f>
        <v/>
      </c>
      <c r="E8" s="23">
        <f>$B$4/((A8*Premissas!$B$10*Premissas!$B$8) + (E$6*Premissas!$B$9*12))*12</f>
        <v/>
      </c>
      <c r="F8" s="23">
        <f>$B$4/((A8*Premissas!$B$10*Premissas!$B$8) + (F$6*Premissas!$B$9*12))*12</f>
        <v/>
      </c>
      <c r="G8" s="23">
        <f>$B$4/((A8*Premissas!$B$10*Premissas!$B$8) + (G$6*Premissas!$B$9*12))*12</f>
        <v/>
      </c>
      <c r="H8" s="23">
        <f>$B$4/((A8*Premissas!$B$10*Premissas!$B$8) + (H$6*Premissas!$B$9*12))*12</f>
        <v/>
      </c>
      <c r="I8" s="23">
        <f>$B$4/((A8*Premissas!$B$10*Premissas!$B$8) + (I$6*Premissas!$B$9*12))*12</f>
        <v/>
      </c>
    </row>
    <row r="9">
      <c r="A9" s="28" t="n">
        <v>0.0075</v>
      </c>
      <c r="B9" s="23">
        <f>$B$4/((A9*Premissas!$B$10*Premissas!$B$8) + (B$6*Premissas!$B$9*12))*12</f>
        <v/>
      </c>
      <c r="C9" s="23">
        <f>$B$4/((A9*Premissas!$B$10*Premissas!$B$8) + (C$6*Premissas!$B$9*12))*12</f>
        <v/>
      </c>
      <c r="D9" s="23">
        <f>$B$4/((A9*Premissas!$B$10*Premissas!$B$8) + (D$6*Premissas!$B$9*12))*12</f>
        <v/>
      </c>
      <c r="E9" s="23">
        <f>$B$4/((A9*Premissas!$B$10*Premissas!$B$8) + (E$6*Premissas!$B$9*12))*12</f>
        <v/>
      </c>
      <c r="F9" s="23">
        <f>$B$4/((A9*Premissas!$B$10*Premissas!$B$8) + (F$6*Premissas!$B$9*12))*12</f>
        <v/>
      </c>
      <c r="G9" s="23">
        <f>$B$4/((A9*Premissas!$B$10*Premissas!$B$8) + (G$6*Premissas!$B$9*12))*12</f>
        <v/>
      </c>
      <c r="H9" s="23">
        <f>$B$4/((A9*Premissas!$B$10*Premissas!$B$8) + (H$6*Premissas!$B$9*12))*12</f>
        <v/>
      </c>
      <c r="I9" s="23">
        <f>$B$4/((A9*Premissas!$B$10*Premissas!$B$8) + (I$6*Premissas!$B$9*12))*12</f>
        <v/>
      </c>
    </row>
    <row r="10">
      <c r="A10" s="28" t="n">
        <v>0.01</v>
      </c>
      <c r="B10" s="23">
        <f>$B$4/((A10*Premissas!$B$10*Premissas!$B$8) + (B$6*Premissas!$B$9*12))*12</f>
        <v/>
      </c>
      <c r="C10" s="23">
        <f>$B$4/((A10*Premissas!$B$10*Premissas!$B$8) + (C$6*Premissas!$B$9*12))*12</f>
        <v/>
      </c>
      <c r="D10" s="23">
        <f>$B$4/((A10*Premissas!$B$10*Premissas!$B$8) + (D$6*Premissas!$B$9*12))*12</f>
        <v/>
      </c>
      <c r="E10" s="23">
        <f>$B$4/((A10*Premissas!$B$10*Premissas!$B$8) + (E$6*Premissas!$B$9*12))*12</f>
        <v/>
      </c>
      <c r="F10" s="23">
        <f>$B$4/((A10*Premissas!$B$10*Premissas!$B$8) + (F$6*Premissas!$B$9*12))*12</f>
        <v/>
      </c>
      <c r="G10" s="23">
        <f>$B$4/((A10*Premissas!$B$10*Premissas!$B$8) + (G$6*Premissas!$B$9*12))*12</f>
        <v/>
      </c>
      <c r="H10" s="23">
        <f>$B$4/((A10*Premissas!$B$10*Premissas!$B$8) + (H$6*Premissas!$B$9*12))*12</f>
        <v/>
      </c>
      <c r="I10" s="23">
        <f>$B$4/((A10*Premissas!$B$10*Premissas!$B$8) + (I$6*Premissas!$B$9*12))*12</f>
        <v/>
      </c>
    </row>
    <row r="11">
      <c r="A11" s="28" t="n">
        <v>0.0125</v>
      </c>
      <c r="B11" s="23">
        <f>$B$4/((A11*Premissas!$B$10*Premissas!$B$8) + (B$6*Premissas!$B$9*12))*12</f>
        <v/>
      </c>
      <c r="C11" s="23">
        <f>$B$4/((A11*Premissas!$B$10*Premissas!$B$8) + (C$6*Premissas!$B$9*12))*12</f>
        <v/>
      </c>
      <c r="D11" s="23">
        <f>$B$4/((A11*Premissas!$B$10*Premissas!$B$8) + (D$6*Premissas!$B$9*12))*12</f>
        <v/>
      </c>
      <c r="E11" s="23">
        <f>$B$4/((A11*Premissas!$B$10*Premissas!$B$8) + (E$6*Premissas!$B$9*12))*12</f>
        <v/>
      </c>
      <c r="F11" s="23">
        <f>$B$4/((A11*Premissas!$B$10*Premissas!$B$8) + (F$6*Premissas!$B$9*12))*12</f>
        <v/>
      </c>
      <c r="G11" s="23">
        <f>$B$4/((A11*Premissas!$B$10*Premissas!$B$8) + (G$6*Premissas!$B$9*12))*12</f>
        <v/>
      </c>
      <c r="H11" s="23">
        <f>$B$4/((A11*Premissas!$B$10*Premissas!$B$8) + (H$6*Premissas!$B$9*12))*12</f>
        <v/>
      </c>
      <c r="I11" s="23">
        <f>$B$4/((A11*Premissas!$B$10*Premissas!$B$8) + (I$6*Premissas!$B$9*12))*12</f>
        <v/>
      </c>
    </row>
    <row r="12">
      <c r="A12" s="28" t="n">
        <v>0.015</v>
      </c>
      <c r="B12" s="23">
        <f>$B$4/((A12*Premissas!$B$10*Premissas!$B$8) + (B$6*Premissas!$B$9*12))*12</f>
        <v/>
      </c>
      <c r="C12" s="23">
        <f>$B$4/((A12*Premissas!$B$10*Premissas!$B$8) + (C$6*Premissas!$B$9*12))*12</f>
        <v/>
      </c>
      <c r="D12" s="23">
        <f>$B$4/((A12*Premissas!$B$10*Premissas!$B$8) + (D$6*Premissas!$B$9*12))*12</f>
        <v/>
      </c>
      <c r="E12" s="23">
        <f>$B$4/((A12*Premissas!$B$10*Premissas!$B$8) + (E$6*Premissas!$B$9*12))*12</f>
        <v/>
      </c>
      <c r="F12" s="23">
        <f>$B$4/((A12*Premissas!$B$10*Premissas!$B$8) + (F$6*Premissas!$B$9*12))*12</f>
        <v/>
      </c>
      <c r="G12" s="23">
        <f>$B$4/((A12*Premissas!$B$10*Premissas!$B$8) + (G$6*Premissas!$B$9*12))*12</f>
        <v/>
      </c>
      <c r="H12" s="23">
        <f>$B$4/((A12*Premissas!$B$10*Premissas!$B$8) + (H$6*Premissas!$B$9*12))*12</f>
        <v/>
      </c>
      <c r="I12" s="23">
        <f>$B$4/((A12*Premissas!$B$10*Premissas!$B$8) + (I$6*Premissas!$B$9*12))*12</f>
        <v/>
      </c>
    </row>
    <row r="13">
      <c r="A13" s="28" t="n">
        <v>0.02</v>
      </c>
      <c r="B13" s="23">
        <f>$B$4/((A13*Premissas!$B$10*Premissas!$B$8) + (B$6*Premissas!$B$9*12))*12</f>
        <v/>
      </c>
      <c r="C13" s="23">
        <f>$B$4/((A13*Premissas!$B$10*Premissas!$B$8) + (C$6*Premissas!$B$9*12))*12</f>
        <v/>
      </c>
      <c r="D13" s="23">
        <f>$B$4/((A13*Premissas!$B$10*Premissas!$B$8) + (D$6*Premissas!$B$9*12))*12</f>
        <v/>
      </c>
      <c r="E13" s="23">
        <f>$B$4/((A13*Premissas!$B$10*Premissas!$B$8) + (E$6*Premissas!$B$9*12))*12</f>
        <v/>
      </c>
      <c r="F13" s="23">
        <f>$B$4/((A13*Premissas!$B$10*Premissas!$B$8) + (F$6*Premissas!$B$9*12))*12</f>
        <v/>
      </c>
      <c r="G13" s="23">
        <f>$B$4/((A13*Premissas!$B$10*Premissas!$B$8) + (G$6*Premissas!$B$9*12))*12</f>
        <v/>
      </c>
      <c r="H13" s="23">
        <f>$B$4/((A13*Premissas!$B$10*Premissas!$B$8) + (H$6*Premissas!$B$9*12))*12</f>
        <v/>
      </c>
      <c r="I13" s="23">
        <f>$B$4/((A13*Premissas!$B$10*Premissas!$B$8) + (I$6*Premissas!$B$9*12))*12</f>
        <v/>
      </c>
    </row>
    <row r="14">
      <c r="A14" s="28" t="n">
        <v>0.025</v>
      </c>
      <c r="B14" s="23">
        <f>$B$4/((A14*Premissas!$B$10*Premissas!$B$8) + (B$6*Premissas!$B$9*12))*12</f>
        <v/>
      </c>
      <c r="C14" s="23">
        <f>$B$4/((A14*Premissas!$B$10*Premissas!$B$8) + (C$6*Premissas!$B$9*12))*12</f>
        <v/>
      </c>
      <c r="D14" s="23">
        <f>$B$4/((A14*Premissas!$B$10*Premissas!$B$8) + (D$6*Premissas!$B$9*12))*12</f>
        <v/>
      </c>
      <c r="E14" s="23">
        <f>$B$4/((A14*Premissas!$B$10*Premissas!$B$8) + (E$6*Premissas!$B$9*12))*12</f>
        <v/>
      </c>
      <c r="F14" s="23">
        <f>$B$4/((A14*Premissas!$B$10*Premissas!$B$8) + (F$6*Premissas!$B$9*12))*12</f>
        <v/>
      </c>
      <c r="G14" s="23">
        <f>$B$4/((A14*Premissas!$B$10*Premissas!$B$8) + (G$6*Premissas!$B$9*12))*12</f>
        <v/>
      </c>
      <c r="H14" s="23">
        <f>$B$4/((A14*Premissas!$B$10*Premissas!$B$8) + (H$6*Premissas!$B$9*12))*12</f>
        <v/>
      </c>
      <c r="I14" s="23">
        <f>$B$4/((A14*Premissas!$B$10*Premissas!$B$8) + (I$6*Premissas!$B$9*12))*12</f>
        <v/>
      </c>
    </row>
    <row r="15">
      <c r="A15" s="28" t="n">
        <v>0.03</v>
      </c>
      <c r="B15" s="23">
        <f>$B$4/((A15*Premissas!$B$10*Premissas!$B$8) + (B$6*Premissas!$B$9*12))*12</f>
        <v/>
      </c>
      <c r="C15" s="23">
        <f>$B$4/((A15*Premissas!$B$10*Premissas!$B$8) + (C$6*Premissas!$B$9*12))*12</f>
        <v/>
      </c>
      <c r="D15" s="23">
        <f>$B$4/((A15*Premissas!$B$10*Premissas!$B$8) + (D$6*Premissas!$B$9*12))*12</f>
        <v/>
      </c>
      <c r="E15" s="23">
        <f>$B$4/((A15*Premissas!$B$10*Premissas!$B$8) + (E$6*Premissas!$B$9*12))*12</f>
        <v/>
      </c>
      <c r="F15" s="23">
        <f>$B$4/((A15*Premissas!$B$10*Premissas!$B$8) + (F$6*Premissas!$B$9*12))*12</f>
        <v/>
      </c>
      <c r="G15" s="23">
        <f>$B$4/((A15*Premissas!$B$10*Premissas!$B$8) + (G$6*Premissas!$B$9*12))*12</f>
        <v/>
      </c>
      <c r="H15" s="23">
        <f>$B$4/((A15*Premissas!$B$10*Premissas!$B$8) + (H$6*Premissas!$B$9*12))*12</f>
        <v/>
      </c>
      <c r="I15" s="23">
        <f>$B$4/((A15*Premissas!$B$10*Premissas!$B$8) + (I$6*Premissas!$B$9*12))*12</f>
        <v/>
      </c>
    </row>
  </sheetData>
  <mergeCells count="1">
    <mergeCell ref="A2:J2"/>
  </mergeCells>
  <conditionalFormatting sqref="B7:I15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8" customWidth="1" min="4" max="4"/>
    <col width="55" customWidth="1" min="5" max="5"/>
  </cols>
  <sheetData>
    <row r="1">
      <c r="A1" s="1" t="inlineStr">
        <is>
          <t>FONTE — OS 10 QUICK WINS OTD DA PROPOSTA PIXELPULSELAB</t>
        </is>
      </c>
    </row>
    <row r="2">
      <c r="A2" s="2" t="inlineStr">
        <is>
          <t>Extraído de https://pixelpulselab.dev/pt/adaptive/proposta (senha orfeu2026), acessado 07/08/2026.</t>
        </is>
      </c>
    </row>
    <row r="4">
      <c r="A4" s="3" t="inlineStr">
        <is>
          <t>ID</t>
        </is>
      </c>
      <c r="B4" s="3" t="inlineStr">
        <is>
          <t>Quick Win</t>
        </is>
      </c>
      <c r="C4" s="3" t="inlineStr">
        <is>
          <t>Área</t>
        </is>
      </c>
      <c r="D4" s="3" t="inlineStr">
        <is>
          <t>Lente de benefício</t>
        </is>
      </c>
      <c r="E4" s="3" t="inlineStr">
        <is>
          <t>Ganho esperado (expectedGain, texto original da proposta)</t>
        </is>
      </c>
    </row>
    <row r="5" ht="30" customHeight="1">
      <c r="A5" s="4" t="inlineStr">
        <is>
          <t>QW-OTD-01</t>
        </is>
      </c>
      <c r="B5" s="4" t="inlineStr">
        <is>
          <t>Lead na Jornada do Vendedor sem e-mail/retrabalho</t>
        </is>
      </c>
      <c r="C5" s="4" t="inlineStr">
        <is>
          <t>Comercial</t>
        </is>
      </c>
      <c r="D5" s="4" t="inlineStr">
        <is>
          <t>Receita</t>
        </is>
      </c>
      <c r="E5" s="29" t="inlineStr">
        <is>
          <t>Entrada única do lead, distribuição automática, histórico preservado — vendedor inicia abordagem com contexto e prazo.</t>
        </is>
      </c>
    </row>
    <row r="6" ht="30" customHeight="1">
      <c r="A6" s="7" t="inlineStr">
        <is>
          <t>QW-OTD-02</t>
        </is>
      </c>
      <c r="B6" s="7" t="inlineStr">
        <is>
          <t>Proposta e pricing no fluxo (sair de Word/e-mail)</t>
        </is>
      </c>
      <c r="C6" s="7" t="inlineStr">
        <is>
          <t>Comercial</t>
        </is>
      </c>
      <c r="D6" s="7" t="inlineStr">
        <is>
          <t>Receita</t>
        </is>
      </c>
      <c r="E6" s="30" t="inlineStr">
        <is>
          <t>Proposta gerada com preço, margem e alçadas controlados; aprovação no próprio fluxo.</t>
        </is>
      </c>
    </row>
    <row r="7" ht="30" customHeight="1">
      <c r="A7" s="4" t="inlineStr">
        <is>
          <t>QW-OTD-03</t>
        </is>
      </c>
      <c r="B7" s="4" t="inlineStr">
        <is>
          <t>Cadastro e análise de crédito no portal</t>
        </is>
      </c>
      <c r="C7" s="4" t="inlineStr">
        <is>
          <t>Comercial</t>
        </is>
      </c>
      <c r="D7" s="4" t="inlineStr">
        <is>
          <t>Receita</t>
        </is>
      </c>
      <c r="E7" s="29" t="inlineStr">
        <is>
          <t>Cadastro único com pendências visíveis e passagem automática para crédito quando completo.</t>
        </is>
      </c>
    </row>
    <row r="8" ht="30" customHeight="1">
      <c r="A8" s="7" t="inlineStr">
        <is>
          <t>QW-OTD-04</t>
        </is>
      </c>
      <c r="B8" s="7" t="inlineStr">
        <is>
          <t>Contrato digital no Protheus / Jurídico</t>
        </is>
      </c>
      <c r="C8" s="7" t="inlineStr">
        <is>
          <t>Jurídico</t>
        </is>
      </c>
      <c r="D8" s="7" t="inlineStr">
        <is>
          <t>QLP</t>
        </is>
      </c>
      <c r="E8" s="30" t="inlineStr">
        <is>
          <t>Contrato montado a partir do cadastro, com modelo correto, assinatura e status integrados.</t>
        </is>
      </c>
    </row>
    <row r="9" ht="30" customHeight="1">
      <c r="A9" s="4" t="inlineStr">
        <is>
          <t>QW-OTD-05</t>
        </is>
      </c>
      <c r="B9" s="4" t="inlineStr">
        <is>
          <t>Input pedido com estoque e ruptura visíveis</t>
        </is>
      </c>
      <c r="C9" s="4" t="inlineStr">
        <is>
          <t>Backoffice</t>
        </is>
      </c>
      <c r="D9" s="4" t="inlineStr">
        <is>
          <t>Receita</t>
        </is>
      </c>
      <c r="E9" s="29" t="inlineStr">
        <is>
          <t>Estoque e risco de ruptura visíveis antes da confirmação; receita recuperada por substituição.</t>
        </is>
      </c>
    </row>
    <row r="10" ht="30" customHeight="1">
      <c r="A10" s="7" t="inlineStr">
        <is>
          <t>QW-OTD-06</t>
        </is>
      </c>
      <c r="B10" s="7" t="inlineStr">
        <is>
          <t>Liberação de crédito no fluxo pré-faturamento</t>
        </is>
      </c>
      <c r="C10" s="7" t="inlineStr">
        <is>
          <t>Financeiro</t>
        </is>
      </c>
      <c r="D10" s="7" t="inlineStr">
        <is>
          <t>QLP</t>
        </is>
      </c>
      <c r="E10" s="30" t="inlineStr">
        <is>
          <t>Pré-validação de crédito, fila única de exceções, liberação orientada por regra e risco.</t>
        </is>
      </c>
    </row>
    <row r="11" ht="30" customHeight="1">
      <c r="A11" s="4" t="inlineStr">
        <is>
          <t>QW-OTD-07</t>
        </is>
      </c>
      <c r="B11" s="4" t="inlineStr">
        <is>
          <t>Faturamento B2B automático (NF-e + boletos)</t>
        </is>
      </c>
      <c r="C11" s="4" t="inlineStr">
        <is>
          <t>Financeiro</t>
        </is>
      </c>
      <c r="D11" s="4" t="inlineStr">
        <is>
          <t>QLP</t>
        </is>
      </c>
      <c r="E11" s="29" t="inlineStr">
        <is>
          <t>Faturamento orquestrado com validações; intervenção humana apenas em desvio.</t>
        </is>
      </c>
    </row>
    <row r="12" ht="30" customHeight="1">
      <c r="A12" s="7" t="inlineStr">
        <is>
          <t>QW-OTD-08</t>
        </is>
      </c>
      <c r="B12" s="7" t="inlineStr">
        <is>
          <t>Separação/WMS sem papel (coletor + conferência)</t>
        </is>
      </c>
      <c r="C12" s="7" t="inlineStr">
        <is>
          <t>Logística</t>
        </is>
      </c>
      <c r="D12" s="7" t="inlineStr">
        <is>
          <t>QLP</t>
        </is>
      </c>
      <c r="E12" s="30" t="inlineStr">
        <is>
          <t>Separação orientada por coletor, conferência digital; divergência bloqueada antes da expedição.</t>
        </is>
      </c>
    </row>
    <row r="13" ht="30" customHeight="1">
      <c r="A13" s="4" t="inlineStr">
        <is>
          <t>QW-OTD-09</t>
        </is>
      </c>
      <c r="B13" s="4" t="inlineStr">
        <is>
          <t>Expedição e EDI no fluxo de tracking</t>
        </is>
      </c>
      <c r="C13" s="4" t="inlineStr">
        <is>
          <t>Logística</t>
        </is>
      </c>
      <c r="D13" s="4" t="inlineStr">
        <is>
          <t>QLP</t>
        </is>
      </c>
      <c r="E13" s="29" t="inlineStr">
        <is>
          <t>Eventos consolidados, ETA e desvios visíveis, alerta proativo — menos contatos manuais de status.</t>
        </is>
      </c>
    </row>
    <row r="14" ht="30" customHeight="1">
      <c r="A14" s="7" t="inlineStr">
        <is>
          <t>QW-OTD-10</t>
        </is>
      </c>
      <c r="B14" s="7" t="inlineStr">
        <is>
          <t>Alerta de recompra automático</t>
        </is>
      </c>
      <c r="C14" s="7" t="inlineStr">
        <is>
          <t>Pós-venda</t>
        </is>
      </c>
      <c r="D14" s="7" t="inlineStr">
        <is>
          <t>Receita</t>
        </is>
      </c>
      <c r="E14" s="30" t="inlineStr">
        <is>
          <t>Alerta diário priorizado com próxima ação sugerida; receita/margem recuperada por recompra.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2026-08-07T18:37:31Z</dcterms:created>
  <dcterms:modified xmlns:dcterms="http://purl.org/dc/terms/" xmlns:xsi="http://www.w3.org/2001/XMLSchema-instance" xsi:type="dcterms:W3CDTF">2026-08-07T18:37:31Z</dcterms:modified>
</cp:coreProperties>
</file>