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egoT\Desktop\"/>
    </mc:Choice>
  </mc:AlternateContent>
  <xr:revisionPtr revIDLastSave="0" documentId="13_ncr:1_{E48284F9-9831-4F6A-9C87-5F4A39E0F25C}" xr6:coauthVersionLast="47" xr6:coauthVersionMax="47" xr10:uidLastSave="{00000000-0000-0000-0000-000000000000}"/>
  <bookViews>
    <workbookView xWindow="-108" yWindow="-108" windowWidth="23256" windowHeight="13896" tabRatio="500" firstSheet="1" activeTab="2" xr2:uid="{00000000-000D-0000-FFFF-FFFF00000000}"/>
  </bookViews>
  <sheets>
    <sheet name="Org" sheetId="1" state="hidden" r:id="rId1"/>
    <sheet name="Organograma" sheetId="4" r:id="rId2"/>
    <sheet name="Avali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9" i="2" l="1"/>
  <c r="T49" i="2" s="1"/>
  <c r="U49" i="2" s="1"/>
  <c r="V49" i="2" s="1"/>
  <c r="S48" i="2"/>
  <c r="T48" i="2" s="1"/>
  <c r="U48" i="2" s="1"/>
  <c r="V48" i="2" s="1"/>
  <c r="T47" i="2"/>
  <c r="U47" i="2" s="1"/>
  <c r="V47" i="2" s="1"/>
  <c r="S47" i="2"/>
  <c r="T46" i="2"/>
  <c r="U46" i="2" s="1"/>
  <c r="V46" i="2" s="1"/>
  <c r="S46" i="2"/>
  <c r="T45" i="2"/>
  <c r="U45" i="2" s="1"/>
  <c r="V45" i="2" s="1"/>
  <c r="S45" i="2"/>
  <c r="U44" i="2"/>
  <c r="V44" i="2" s="1"/>
  <c r="T44" i="2"/>
  <c r="S44" i="2"/>
  <c r="T43" i="2"/>
  <c r="U43" i="2" s="1"/>
  <c r="V43" i="2" s="1"/>
  <c r="S43" i="2"/>
  <c r="T42" i="2"/>
  <c r="U42" i="2" s="1"/>
  <c r="V42" i="2" s="1"/>
  <c r="S42" i="2"/>
  <c r="U41" i="2"/>
  <c r="V41" i="2" s="1"/>
  <c r="T41" i="2"/>
  <c r="S41" i="2"/>
  <c r="T40" i="2"/>
  <c r="U40" i="2" s="1"/>
  <c r="V40" i="2" s="1"/>
  <c r="S40" i="2"/>
  <c r="T39" i="2"/>
  <c r="U39" i="2" s="1"/>
  <c r="V39" i="2" s="1"/>
  <c r="S39" i="2"/>
  <c r="U38" i="2"/>
  <c r="V38" i="2" s="1"/>
  <c r="T38" i="2"/>
  <c r="S38" i="2"/>
  <c r="T37" i="2"/>
  <c r="U37" i="2" s="1"/>
  <c r="V37" i="2" s="1"/>
  <c r="S37" i="2"/>
  <c r="T36" i="2"/>
  <c r="U36" i="2" s="1"/>
  <c r="V36" i="2" s="1"/>
  <c r="S36" i="2"/>
  <c r="U35" i="2"/>
  <c r="V35" i="2" s="1"/>
  <c r="T35" i="2"/>
  <c r="S35" i="2"/>
  <c r="T34" i="2"/>
  <c r="U34" i="2" s="1"/>
  <c r="V34" i="2" s="1"/>
  <c r="S34" i="2"/>
  <c r="T33" i="2"/>
  <c r="U33" i="2" s="1"/>
  <c r="V33" i="2" s="1"/>
  <c r="S33" i="2"/>
  <c r="U32" i="2"/>
  <c r="V32" i="2" s="1"/>
  <c r="T32" i="2"/>
  <c r="S32" i="2"/>
  <c r="T31" i="2"/>
  <c r="U31" i="2" s="1"/>
  <c r="V31" i="2" s="1"/>
  <c r="S31" i="2"/>
  <c r="T30" i="2"/>
  <c r="U30" i="2" s="1"/>
  <c r="V30" i="2" s="1"/>
  <c r="S30" i="2"/>
  <c r="U29" i="2"/>
  <c r="V29" i="2" s="1"/>
  <c r="T29" i="2"/>
  <c r="S29" i="2"/>
  <c r="T28" i="2"/>
  <c r="U28" i="2" s="1"/>
  <c r="V28" i="2" s="1"/>
  <c r="S28" i="2"/>
  <c r="T27" i="2"/>
  <c r="U27" i="2" s="1"/>
  <c r="V27" i="2" s="1"/>
  <c r="S27" i="2"/>
  <c r="U26" i="2"/>
  <c r="V26" i="2" s="1"/>
  <c r="T26" i="2"/>
  <c r="S26" i="2"/>
  <c r="T25" i="2"/>
  <c r="U25" i="2" s="1"/>
  <c r="V25" i="2" s="1"/>
  <c r="S25" i="2"/>
  <c r="T24" i="2"/>
  <c r="U24" i="2" s="1"/>
  <c r="V24" i="2" s="1"/>
  <c r="S24" i="2"/>
  <c r="U23" i="2"/>
  <c r="V23" i="2" s="1"/>
  <c r="T23" i="2"/>
  <c r="S23" i="2"/>
  <c r="T22" i="2"/>
  <c r="U22" i="2" s="1"/>
  <c r="V22" i="2" s="1"/>
  <c r="S22" i="2"/>
  <c r="T21" i="2"/>
  <c r="U21" i="2" s="1"/>
  <c r="V21" i="2" s="1"/>
  <c r="S21" i="2"/>
  <c r="U20" i="2"/>
  <c r="V20" i="2" s="1"/>
  <c r="T20" i="2"/>
  <c r="S20" i="2"/>
  <c r="T19" i="2"/>
  <c r="U19" i="2" s="1"/>
  <c r="V19" i="2" s="1"/>
  <c r="S19" i="2"/>
  <c r="T18" i="2"/>
  <c r="U18" i="2" s="1"/>
  <c r="V18" i="2" s="1"/>
  <c r="S18" i="2"/>
  <c r="U17" i="2"/>
  <c r="V17" i="2" s="1"/>
  <c r="T17" i="2"/>
  <c r="S17" i="2"/>
  <c r="T16" i="2"/>
  <c r="U16" i="2" s="1"/>
  <c r="V16" i="2" s="1"/>
  <c r="S16" i="2"/>
  <c r="T15" i="2"/>
  <c r="U15" i="2" s="1"/>
  <c r="V15" i="2" s="1"/>
  <c r="S15" i="2"/>
  <c r="U14" i="2"/>
  <c r="V14" i="2" s="1"/>
  <c r="T14" i="2"/>
  <c r="S14" i="2"/>
  <c r="T13" i="2"/>
  <c r="U13" i="2" s="1"/>
  <c r="V13" i="2" s="1"/>
  <c r="S13" i="2"/>
  <c r="T12" i="2"/>
  <c r="U12" i="2" s="1"/>
  <c r="V12" i="2" s="1"/>
  <c r="S12" i="2"/>
  <c r="U11" i="2"/>
  <c r="V11" i="2" s="1"/>
  <c r="T11" i="2"/>
  <c r="S11" i="2"/>
  <c r="T10" i="2"/>
  <c r="U10" i="2" s="1"/>
  <c r="V10" i="2" s="1"/>
  <c r="S10" i="2"/>
  <c r="T9" i="2"/>
  <c r="U9" i="2" s="1"/>
  <c r="V9" i="2" s="1"/>
  <c r="S9" i="2"/>
  <c r="U8" i="2"/>
  <c r="V8" i="2" s="1"/>
  <c r="T8" i="2"/>
  <c r="S8" i="2"/>
  <c r="T7" i="2"/>
  <c r="U7" i="2" s="1"/>
  <c r="V7" i="2" s="1"/>
  <c r="S7" i="2"/>
  <c r="T6" i="2"/>
  <c r="U6" i="2" s="1"/>
  <c r="S6" i="2"/>
  <c r="S3" i="2"/>
  <c r="U3" i="2" l="1"/>
  <c r="V6" i="2"/>
  <c r="V3" i="2" s="1"/>
  <c r="T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5" authorId="0" shapeId="0" xr:uid="{00000000-0006-0000-0100-000001000000}">
      <text>
        <r>
          <rPr>
            <sz val="10"/>
            <rFont val="Arial"/>
            <family val="2"/>
          </rPr>
          <t>Preencher com o tempo de empresa em anos (pode ser número quebrado, ex: 1,5).</t>
        </r>
      </text>
    </comment>
    <comment ref="K5" authorId="0" shapeId="0" xr:uid="{00000000-0006-0000-0100-000002000000}">
      <text>
        <r>
          <rPr>
            <sz val="10"/>
            <rFont val="Arial"/>
            <family val="2"/>
          </rPr>
          <t>Resultado do último ciclo de avaliação. Use: Abaixo do esperado / Dentro do esperado / Acima do esperado.</t>
        </r>
      </text>
    </comment>
    <comment ref="L5" authorId="0" shapeId="0" xr:uid="{00000000-0006-0000-0100-000003000000}">
      <text>
        <r>
          <rPr>
            <sz val="10"/>
            <rFont val="Arial"/>
            <family val="2"/>
          </rPr>
          <t>Visão de potencial de médio prazo (independe do desempenho atual). Use: Baixo / Médio / Alto.</t>
        </r>
      </text>
    </comment>
    <comment ref="M5" authorId="0" shapeId="0" xr:uid="{00000000-0006-0000-0100-000004000000}">
      <text>
        <r>
          <rPr>
            <sz val="10"/>
            <rFont val="Arial"/>
            <family val="2"/>
          </rPr>
          <t>Marque 'Sim' se a saída dessa pessoa gera risco relevante de continuidade/conhecimento para a área. Use: Sim / Não.</t>
        </r>
      </text>
    </comment>
    <comment ref="N5" authorId="0" shapeId="0" xr:uid="{00000000-0006-0000-0100-000005000000}">
      <text>
        <r>
          <rPr>
            <sz val="10"/>
            <rFont val="Arial"/>
            <family val="2"/>
          </rPr>
          <t>Nome de quem está pronto ou em preparação para assumir a posição, se houver. Deixe 'Não identificado' quando não houver.</t>
        </r>
      </text>
    </comment>
    <comment ref="O5" authorId="0" shapeId="0" xr:uid="{00000000-0006-0000-0100-000006000000}">
      <text>
        <r>
          <rPr>
            <sz val="10"/>
            <rFont val="Arial"/>
            <family val="2"/>
          </rPr>
          <t>Percepção do gestor sobre o risco de saída da pessoa. Use: Baixo / Médio / Alto.</t>
        </r>
      </text>
    </comment>
    <comment ref="P5" authorId="0" shapeId="0" xr:uid="{00000000-0006-0000-0100-000007000000}">
      <text>
        <r>
          <rPr>
            <sz val="10"/>
            <rFont val="Arial"/>
            <family val="2"/>
          </rPr>
          <t>O que falta desenvolver hoje, comparando a pessoa com as Soft/Hard Skills do cargo (colunas G e H). Texto livre e curto.</t>
        </r>
      </text>
    </comment>
    <comment ref="Q5" authorId="0" shapeId="0" xr:uid="{00000000-0006-0000-0100-000008000000}">
      <text>
        <r>
          <rPr>
            <sz val="10"/>
            <rFont val="Arial"/>
            <family val="2"/>
          </rPr>
          <t>Movimento natural sugerido (vertical ou horizontal), ex: 'Vendedor -&gt; Key Account' ou 'Analista -&gt; Coordenador'.</t>
        </r>
      </text>
    </comment>
  </commentList>
</comments>
</file>

<file path=xl/sharedStrings.xml><?xml version="1.0" encoding="utf-8"?>
<sst xmlns="http://schemas.openxmlformats.org/spreadsheetml/2006/main" count="552" uniqueCount="230">
  <si>
    <t>Augusto</t>
  </si>
  <si>
    <t>Fábio G.</t>
  </si>
  <si>
    <t>Priscila Calvelhe</t>
  </si>
  <si>
    <t>Cristiane Pagano</t>
  </si>
  <si>
    <t>Amanda Lopes</t>
  </si>
  <si>
    <t>Ana Cláudia</t>
  </si>
  <si>
    <t>Renato</t>
  </si>
  <si>
    <t>Grazielle</t>
  </si>
  <si>
    <t>Silvia Laliny</t>
  </si>
  <si>
    <t>Varejo Direto</t>
  </si>
  <si>
    <t>Varejo Indireto</t>
  </si>
  <si>
    <t>Merchandising</t>
  </si>
  <si>
    <t>B2B</t>
  </si>
  <si>
    <t>BackOffice</t>
  </si>
  <si>
    <t>Distribuidores B2B</t>
  </si>
  <si>
    <t>Inteligência de Mercado</t>
  </si>
  <si>
    <t>Amazon</t>
  </si>
  <si>
    <t>Consumidor</t>
  </si>
  <si>
    <t>Mercado Livre</t>
  </si>
  <si>
    <t>Exportação</t>
  </si>
  <si>
    <t>Trade Marketing</t>
  </si>
  <si>
    <t>Victória, Jéssica, Janete e Adriana</t>
  </si>
  <si>
    <t>Dayane</t>
  </si>
  <si>
    <t>Elisângela e Eduarda</t>
  </si>
  <si>
    <t>Júlio, Jonas, Rosângela, Thiana, Janaína e Jemerson</t>
  </si>
  <si>
    <t>Mariana</t>
  </si>
  <si>
    <t>Emilly</t>
  </si>
  <si>
    <t>Vinícius, Caio e Arthur</t>
  </si>
  <si>
    <t>Gustavo Santos</t>
  </si>
  <si>
    <t>Amanda Sousa</t>
  </si>
  <si>
    <t>Júlia e Yasmim</t>
  </si>
  <si>
    <t>Patrick (responde à Jéssica)</t>
  </si>
  <si>
    <t>Representantes</t>
  </si>
  <si>
    <t>Promotores e Demonstradores</t>
  </si>
  <si>
    <t>Nome</t>
  </si>
  <si>
    <t>Salário</t>
  </si>
  <si>
    <t>Área/Time</t>
  </si>
  <si>
    <t>Cargo</t>
  </si>
  <si>
    <t>Região</t>
  </si>
  <si>
    <t>Descrição das Responsabilidades</t>
  </si>
  <si>
    <t>Soft Skills</t>
  </si>
  <si>
    <t>Hard Skills</t>
  </si>
  <si>
    <t>Tempo de Casa (anos)</t>
  </si>
  <si>
    <t>Última Avaliação de Desempenho</t>
  </si>
  <si>
    <t>Potencial de Crescimento</t>
  </si>
  <si>
    <t>Posição Crítica?</t>
  </si>
  <si>
    <t>Sucessor Mapeado</t>
  </si>
  <si>
    <t>Risco de Retenção</t>
  </si>
  <si>
    <t>Gap de Desenvolvimento</t>
  </si>
  <si>
    <t>Próximo Passo de Carreira</t>
  </si>
  <si>
    <t>Média de Meta Mensal (REF jun/26)</t>
  </si>
  <si>
    <t>CEO</t>
  </si>
  <si>
    <t>Nacional/Internacional</t>
  </si>
  <si>
    <t>CEO responsável pela liderança estratégica da Orfeu, definindo o direcionamento dos negócios, a expansão nacional e internacional e os resultados da companhia</t>
  </si>
  <si>
    <t>Visão estratégica, liderança inspiradora, tomada de decisão sob pressão, comunicação institucional, resiliência</t>
  </si>
  <si>
    <t>Gestão estratégica de negócios, conhecimento do mercado de café e agronegócio, finanças corporativas, condução de expansão/negociações internacionais, governança corporativa</t>
  </si>
  <si>
    <t>Comercial</t>
  </si>
  <si>
    <t>Diretor</t>
  </si>
  <si>
    <t>Nacional</t>
  </si>
  <si>
    <t>Diretor responsável por conduzir todos os times comerciais, atuando em grandes negociações e na prospecção de novas regiões/clientes</t>
  </si>
  <si>
    <t>Liderança de times multifuncionais, negociação de alto nível, visão estratégica comercial, capacidade de influência, resiliência à pressão comercial</t>
  </si>
  <si>
    <t>Gestão de grandes contas e negociação (B2B e Varejo), planejamento comercial e de metas (budget/S&amp;OP), conhecimento de mercado de café e canais de distribuição, condução de expansão/prospecção, gestão de indicadores comerciais (KPIs)</t>
  </si>
  <si>
    <t>Varejo</t>
  </si>
  <si>
    <t>Gerente</t>
  </si>
  <si>
    <t>Responsável por conduzir o time do Varejo Direto, Indireto (Representantes), e Merchandising</t>
  </si>
  <si>
    <t>Liderança de equipes multidisciplinares, organização e priorização, comunicação assertiva, resolução de conflitos, adaptabilidade</t>
  </si>
  <si>
    <t>Gestão do canal Varejo (trade), análise de indicadores de vendas (KPIs), negociação com representantes, gestão de equipes de campo (merchandising/PDV), Excel/BI</t>
  </si>
  <si>
    <t>Alto</t>
  </si>
  <si>
    <t>Sim</t>
  </si>
  <si>
    <t>Não identificado</t>
  </si>
  <si>
    <t>Baixo</t>
  </si>
  <si>
    <t>Vendedor</t>
  </si>
  <si>
    <t>SP</t>
  </si>
  <si>
    <t>Vendedora de Varejo responsável pelo atendimento de contas médias, em volume</t>
  </si>
  <si>
    <t>Relacionamento interpessoal, negociação, organização da carteira de clientes, resiliência a objeções, comunicação persuasiva</t>
  </si>
  <si>
    <t>Técnicas de vendas e negociação comercial, gestão de carteira de clientes/CRM, conhecimento de portfólio de produtos, análise de indicadores de vendas (volume/mix), Excel básico/intermediário</t>
  </si>
  <si>
    <t>Médio</t>
  </si>
  <si>
    <t>Não</t>
  </si>
  <si>
    <t>Vendedora de Varejo responsável pelo atendimento de contas pequenas e médias, em volume</t>
  </si>
  <si>
    <t>Vendedora de Varejo responsável pelo atendimento de contas grandes (Key Accounts)</t>
  </si>
  <si>
    <t>Negociação avançada, construção de relacionamento de longo prazo, articulação com múltiplos níveis do cliente, resiliência, comunicação estratégica</t>
  </si>
  <si>
    <t>Gestão e negociação de grandes contas (Key Accounts), técnicas de vendas consultivas, análise de indicadores de performance por conta, planejamento de contas (account planning), Excel intermediário</t>
  </si>
  <si>
    <t>Vendedora de Varejo responsável pelo relacionamento de Orfeu com seus representantes</t>
  </si>
  <si>
    <t>Comunicação e articulação com parceiros externos, negociação, organização, construção de relacionamento de longo prazo</t>
  </si>
  <si>
    <t>Gestão do canal de representantes comerciais, negociação comercial B2B/varejo, acompanhamento de metas e resultados por representante, Excel e relatórios de performance</t>
  </si>
  <si>
    <t>RJ</t>
  </si>
  <si>
    <t>Não localizado</t>
  </si>
  <si>
    <t>Representante</t>
  </si>
  <si>
    <t>SPI</t>
  </si>
  <si>
    <t>Equipe de representantes comerciais autônomos, responsável pela venda e distribuição dos produtos Orfeu no canal de Varejo Indireto</t>
  </si>
  <si>
    <t>Autonomia, relacionamento comercial, persistência, organização da agenda de visitas</t>
  </si>
  <si>
    <t>Técnicas de vendas, conhecimento de território/canal, gestão de carteira de clientes, negociação comercial</t>
  </si>
  <si>
    <t>SC</t>
  </si>
  <si>
    <t>RS</t>
  </si>
  <si>
    <t>PR</t>
  </si>
  <si>
    <t>Verificar</t>
  </si>
  <si>
    <t>PA</t>
  </si>
  <si>
    <t>AM</t>
  </si>
  <si>
    <t>BA</t>
  </si>
  <si>
    <t>Coordenadora</t>
  </si>
  <si>
    <t>Responsável por conduzir o time de Merchandising no Rio de Janeiro, atuando diretamente no PDV</t>
  </si>
  <si>
    <t>Liderança de equipe de campo, organização, comunicação, capacidade de resolução de problemas no PDV</t>
  </si>
  <si>
    <t>Gestão de equipes de promotores/merchandising, execução de PDV (planograma, ruptura, precificação), indicadores de trade marketing, Excel intermediário</t>
  </si>
  <si>
    <t>Eduarda</t>
  </si>
  <si>
    <t>Analista</t>
  </si>
  <si>
    <t>Responsável por auxiliar a Gerente do Varejo e a Coordenadora de Merchandising na condução dos times em lojas</t>
  </si>
  <si>
    <t>Organização, proatividade, comunicação, trabalho em equipe</t>
  </si>
  <si>
    <t>Análise de dados de PDV/merchandising, Excel intermediário/avançado, apoio à gestão de indicadores comerciais, conhecimento de rotinas de campo</t>
  </si>
  <si>
    <t>Promotores</t>
  </si>
  <si>
    <t>SP/RJ/DF</t>
  </si>
  <si>
    <t>Equipe de promotores responsável pela execução no ponto de venda (exposição, reposição e organização de produtos) no canal de Varejo/Merchandising</t>
  </si>
  <si>
    <t>Proatividade, atenção a detalhes, comunicação, relacionamento com lojistas</t>
  </si>
  <si>
    <t>Execução de PDV (exposição, reposição, precificação), conhecimento de portfólio de produtos, técnicas básicas de merchandising</t>
  </si>
  <si>
    <t>Degustadores</t>
  </si>
  <si>
    <t>Equipe de degustadores responsável pela ativação de produtos no ponto de venda, promovendo experimentação e conversão junto ao consumidor final</t>
  </si>
  <si>
    <t>Comunicação, abordagem ao consumidor, proatividade, resiliência</t>
  </si>
  <si>
    <t>Técnicas de degustação e apresentação de produto, conhecimento de portfólio Orfeu, abordagem consultiva ao consumidor no PDV</t>
  </si>
  <si>
    <t>Responsável por conduzir o time B2B (HoReCa + Offices) e de Distribuição</t>
  </si>
  <si>
    <t>Liderança de equipes multidisciplinares (vendas, backoffice, baristas), negociação de alto nível, visão estratégica de canal, comunicação</t>
  </si>
  <si>
    <t>Gestão do canal B2B/HoReCa e Distribuição, negociação com distribuidores, gestão de indicadores comerciais, conhecimento do mercado de foodservice, Excel/BI</t>
  </si>
  <si>
    <t>Vendedor de B2B responsável pelo atendimento de contas médias, em volume</t>
  </si>
  <si>
    <t>Relacionamento interpessoal, negociação, organização da carteira, resiliência, comunicação consultiva</t>
  </si>
  <si>
    <t>Técnicas de vendas consultivas B2B/HoReCa, gestão de carteira de clientes/CRM, conhecimento de portfólio e máquinas de café, análise de indicadores de vendas, Excel básico/intermediário</t>
  </si>
  <si>
    <t>Vendedora de B2B responsável pelo atendimento de contas grandes (Key Accounts)</t>
  </si>
  <si>
    <t>Negociação avançada, construção de relacionamento de longo prazo, articulação com múltiplos níveis do cliente, comunicação estratégica</t>
  </si>
  <si>
    <t>Gestão e negociação de grandes contas (Key Accounts), técnicas de vendas consultivas, análise de indicadores de performance por conta, planejamento de contas, Excel intermediário</t>
  </si>
  <si>
    <t>Vendedora de B2B responsável pelo atendimento de contas médias, em volume</t>
  </si>
  <si>
    <t>MG</t>
  </si>
  <si>
    <t>DF</t>
  </si>
  <si>
    <t>BackOffice, responsável por dar suporte administrativo/comercial aos vendedores do B2B</t>
  </si>
  <si>
    <t>Organização, atenção a detalhes, comunicação, proatividade, trabalho em equipe</t>
  </si>
  <si>
    <t>Suporte administrativo/comercial (pedidos, faturamento, cadastros), domínio de sistemas de gestão (ERP/CRM), Excel intermediário, controle de indicadores administrativos</t>
  </si>
  <si>
    <t>Vendedora de B2B responsável pelo atendimento de distribuidores no perfil HoReCa</t>
  </si>
  <si>
    <t>Negociação, relacionamento com parceiros de distribuição, comunicação, organização</t>
  </si>
  <si>
    <t>Gestão de canal de distribuição, negociação comercial B2B, acompanhamento de indicadores de vendas por distribuidor, Excel intermediário</t>
  </si>
  <si>
    <t>Barista</t>
  </si>
  <si>
    <t>Barista coordenadora responsável por conduzir o time de baristas e suas execuções</t>
  </si>
  <si>
    <t>Liderança de equipe técnica, didática/capacidade de ensinar, organização, comunicação</t>
  </si>
  <si>
    <t>Técnica avançada de preparo de café (barista), treinamento e capacitação técnica, gestão de equipe de baristas, conhecimento de manutenção de máquinas de café</t>
  </si>
  <si>
    <t>Barista responsável pelo atendimento de clientes HoReCa que precisam de suporte de barista, treinamentos, ajustes de máquinas</t>
  </si>
  <si>
    <t>Didática, comunicação, paciência, atenção a detalhes, relacionamento com o cliente</t>
  </si>
  <si>
    <t>Técnica de preparo de café especial (barista), manutenção e ajuste de máquinas de café, treinamento de equipes de clientes HoReCa, conhecimento de portfólio de produtos</t>
  </si>
  <si>
    <t>Inteligência</t>
  </si>
  <si>
    <t>Coordenadora do time de Inteligência, que é responsável por suprir o time comercial e gestão de dados e análises que suportem decisões comerciais</t>
  </si>
  <si>
    <t>Pensamento analítico, liderança de equipe técnica, comunicação de dados para não especialistas, organização</t>
  </si>
  <si>
    <t>Análise de dados e BI (Excel avançado, Power BI/SQL), gestão de indicadores comerciais, modelagem de dados para tomada de decisão, storytelling com dados</t>
  </si>
  <si>
    <t>Analista do time de Inteligência, que é responsável por suprir o time comercial e gestão de dados e análises capazes de fomentar decisões comerciais</t>
  </si>
  <si>
    <t>Pensamento analítico, atenção a detalhes, curiosidade, comunicação</t>
  </si>
  <si>
    <t>Análise de dados (Excel avançado, Power BI/SQL), construção de relatórios e dashboards, estatística aplicada a vendas, modelagem de dados</t>
  </si>
  <si>
    <t>E-commerce/site</t>
  </si>
  <si>
    <t>Analista responsável por acompanhar a evolução do nosso e-commerce, com foco em nosso site</t>
  </si>
  <si>
    <t>Organização, proatividade, comunicação, atenção a detalhes</t>
  </si>
  <si>
    <t>Gestão de e-commerce/site (plataformas de e-commerce), análise de indicadores digitais (conversão, tráfego), marketing digital básico, Excel intermediário</t>
  </si>
  <si>
    <t>Juliene</t>
  </si>
  <si>
    <t>E-commerce/Marketplaces</t>
  </si>
  <si>
    <t>Analista responsável por acompanhar a evolução de nossos marketplaces, com foco no Mercado Livre</t>
  </si>
  <si>
    <t>Organização, atenção a detalhes, proatividade, comunicação</t>
  </si>
  <si>
    <t>Gestão de catálogo e operação de marketplace (Mercado Livre), análise de indicadores de vendas online, Excel intermediário, marketing digital básico</t>
  </si>
  <si>
    <t>Analista responsável por acompanhar a evolução de nossos marketplaces, com foco na Amazon BR</t>
  </si>
  <si>
    <t>Internacional</t>
  </si>
  <si>
    <t>Analista responsável por acompanhar a evolução e o atendimento de nossos clientes do exterior</t>
  </si>
  <si>
    <t>Organização, comunicação, atenção a detalhes, proatividade</t>
  </si>
  <si>
    <t>Rotinas de comércio exterior (documentação, logística internacional), atendimento a clientes internacionais, inglês avançado, Excel intermediário</t>
  </si>
  <si>
    <t>Gestora de Trade Marketing, responsável por dar visibilidade a Orfeu no ponto de venda, tanto no B2B quanto no Varejo</t>
  </si>
  <si>
    <t>Liderança, visão estratégica de canal, comunicação, criatividade</t>
  </si>
  <si>
    <t>Gestão de trade marketing (planejamento de ações no PDV), negociação com canais B2B e Varejo, gestão de indicadores de visibilidade/market share, Excel/BI</t>
  </si>
  <si>
    <t>Analista de Trade Marketing, responsável por dar visibilidade a Orfeu no ponto de venda, com foco no B2B</t>
  </si>
  <si>
    <t>Organização, criatividade, comunicação, proatividade</t>
  </si>
  <si>
    <t>Execução de ações de trade marketing no PDV, análise de indicadores de visibilidade, Excel intermediário, conhecimento do canal B2B</t>
  </si>
  <si>
    <t>Analista de Trade Marketing, responsável por dar visibilidade a Orfeu no ponto de venda, com foco no Varejo</t>
  </si>
  <si>
    <t>Execução de ações de trade marketing no PDV, análise de indicadores de visibilidade, Excel intermediário, conhecimento do canal Varejo</t>
  </si>
  <si>
    <t>Consultor Digital</t>
  </si>
  <si>
    <t>Consultor</t>
  </si>
  <si>
    <t>Consultor responsável por acompanhar a evolução de nossos marketplaces, com foco no Mercado Livre</t>
  </si>
  <si>
    <t>Comunicação, negociação, adaptabilidade, proatividade</t>
  </si>
  <si>
    <t>Gestão de marketplace (Mercado Livre — Ads, catálogo, precificação), análise de indicadores de marketplace, negociação com a plataforma, Excel intermediário</t>
  </si>
  <si>
    <t>Consultor Exportação</t>
  </si>
  <si>
    <t>Consultora responsável por acompanhar e prospectar projetos no Comércio Exterior</t>
  </si>
  <si>
    <t>Comunicação intercultural, negociação internacional, autonomia, resiliência</t>
  </si>
  <si>
    <t>Comércio exterior (regras de exportação, INCOTERMS, documentação), inglês/espanhol avançado, prospecção internacional, negociação comercial</t>
  </si>
  <si>
    <t>Funcionário 1</t>
  </si>
  <si>
    <t>Funcionário 2</t>
  </si>
  <si>
    <t>Funcionário 3</t>
  </si>
  <si>
    <t>Funcionário 4</t>
  </si>
  <si>
    <t>Funcionário 5</t>
  </si>
  <si>
    <t>Funcionário 6</t>
  </si>
  <si>
    <t>Funcionário 7</t>
  </si>
  <si>
    <t>Funcionário 8</t>
  </si>
  <si>
    <t>Funcionário 9</t>
  </si>
  <si>
    <t>Funcionário 10</t>
  </si>
  <si>
    <t>Funcionário 11</t>
  </si>
  <si>
    <t>Funcionário 12</t>
  </si>
  <si>
    <t>Funcionário 13</t>
  </si>
  <si>
    <t>Funcionário 14</t>
  </si>
  <si>
    <t>Funcionário 15</t>
  </si>
  <si>
    <t>Funcionário 16</t>
  </si>
  <si>
    <t>Funcionário 17</t>
  </si>
  <si>
    <t>Funcionário 18</t>
  </si>
  <si>
    <t>Funcionário 19</t>
  </si>
  <si>
    <t>Funcionário 20</t>
  </si>
  <si>
    <t>Funcionário 21</t>
  </si>
  <si>
    <t>Funcionário 22</t>
  </si>
  <si>
    <t>Funcionário 23</t>
  </si>
  <si>
    <t>Funcionário 24</t>
  </si>
  <si>
    <t>Funcionário 25</t>
  </si>
  <si>
    <t>Funcionário 26</t>
  </si>
  <si>
    <t>Funcionário 27</t>
  </si>
  <si>
    <t>Funcionário 28</t>
  </si>
  <si>
    <t>Funcionário 29</t>
  </si>
  <si>
    <t>Funcionário 30</t>
  </si>
  <si>
    <t>Funcionário 31</t>
  </si>
  <si>
    <t>Funcionário 32</t>
  </si>
  <si>
    <t>Funcionário 33</t>
  </si>
  <si>
    <t>Funcionário 34</t>
  </si>
  <si>
    <t>Funcionário 35</t>
  </si>
  <si>
    <t>Funcionário 36</t>
  </si>
  <si>
    <t>Funcionário 37</t>
  </si>
  <si>
    <t>Funcionário 38</t>
  </si>
  <si>
    <t>Funcionário 39</t>
  </si>
  <si>
    <t>Funcionário 40</t>
  </si>
  <si>
    <t>Funcionário 41</t>
  </si>
  <si>
    <t>Funcionário 42</t>
  </si>
  <si>
    <t>Funcionário 43</t>
  </si>
  <si>
    <t>Funcionário 44</t>
  </si>
  <si>
    <t>Funcionário 45</t>
  </si>
  <si>
    <t>Funcionário 46</t>
  </si>
  <si>
    <t>Funcionário 47</t>
  </si>
  <si>
    <t>Funcionário 48</t>
  </si>
  <si>
    <t>Funcionário 49</t>
  </si>
  <si>
    <t>Funcionário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</si>
</sst>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\-??_-;_-@_-"/>
    <numFmt numFmtId="165" formatCode="&quot;R$ &quot;#,##0.00"/>
  </numFmts>
  <fonts count="12" x14ac:knownFonts="1">
    <font>
      <sz val="11"/>
      <color theme="1"/>
      <name val="Calibri"/>
      <family val="2"/>
      <charset val="1"/>
    </font>
    <font>
      <sz val="6"/>
      <name val="Courier New"/>
      <family val="2"/>
      <charset val="1"/>
    </font>
    <font>
      <sz val="12"/>
      <color theme="0"/>
      <name val="Segoe UI"/>
      <family val="2"/>
      <charset val="1"/>
    </font>
    <font>
      <sz val="11"/>
      <color theme="0"/>
      <name val="Segoe UI"/>
      <family val="2"/>
      <charset val="1"/>
    </font>
    <font>
      <sz val="11"/>
      <color theme="1"/>
      <name val="Segoe UI"/>
      <family val="2"/>
      <charset val="1"/>
    </font>
    <font>
      <sz val="8"/>
      <color theme="1"/>
      <name val="Segoe UI"/>
      <family val="2"/>
      <charset val="1"/>
    </font>
    <font>
      <sz val="10"/>
      <name val="Arial"/>
      <family val="2"/>
    </font>
    <font>
      <sz val="8"/>
      <name val="Calibri"/>
      <family val="2"/>
      <charset val="1"/>
    </font>
    <font>
      <sz val="10"/>
      <color theme="1"/>
      <name val="Calibri Light"/>
      <family val="2"/>
    </font>
    <font>
      <i/>
      <sz val="10"/>
      <color rgb="FFFF0000"/>
      <name val="Calibri Light"/>
      <family val="2"/>
    </font>
    <font>
      <sz val="10"/>
      <color rgb="FFFFFFFF"/>
      <name val="Calibri Light"/>
      <family val="2"/>
    </font>
    <font>
      <sz val="10"/>
      <color rgb="FFFF0000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rgb="FF9933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5" tint="0.39979247413556324"/>
        <bgColor rgb="FFFF99CC"/>
      </patternFill>
    </fill>
    <fill>
      <patternFill patternType="solid">
        <fgColor theme="9" tint="0.39979247413556324"/>
        <bgColor rgb="FFB8CCE4"/>
      </patternFill>
    </fill>
    <fill>
      <patternFill patternType="solid">
        <fgColor theme="5" tint="0.79979857783745845"/>
        <bgColor rgb="FFE2F0D9"/>
      </patternFill>
    </fill>
    <fill>
      <patternFill patternType="solid">
        <fgColor theme="9" tint="0.79979857783745845"/>
        <bgColor rgb="FFDCE6F1"/>
      </patternFill>
    </fill>
    <fill>
      <patternFill patternType="solid">
        <fgColor rgb="FF4A2C1D"/>
        <bgColor rgb="FF333300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justify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BE5D6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C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354C341-1619-418E-A93A-2FA89798B570}" type="doc">
      <dgm:prSet loTypeId="urn:microsoft.com/office/officeart/2005/8/layout/orgChart1" loCatId="hierarchy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pt-BR"/>
        </a:p>
      </dgm:t>
    </dgm:pt>
    <dgm:pt modelId="{4F706629-3B5A-42A7-95BD-CDAF79F0124C}">
      <dgm:prSet phldrT="[Texto]" custT="1"/>
      <dgm:spPr/>
      <dgm:t>
        <a:bodyPr/>
        <a:lstStyle/>
        <a:p>
          <a:r>
            <a:rPr lang="pt-BR" sz="1000"/>
            <a:t>Augusto</a:t>
          </a:r>
        </a:p>
      </dgm:t>
    </dgm:pt>
    <dgm:pt modelId="{CFB2C132-0C2E-4283-9916-270BF0835907}" type="parTrans" cxnId="{CCFD9A00-48D8-4AC7-B8EC-C08686BE1291}">
      <dgm:prSet/>
      <dgm:spPr/>
      <dgm:t>
        <a:bodyPr/>
        <a:lstStyle/>
        <a:p>
          <a:endParaRPr lang="pt-BR" sz="1000"/>
        </a:p>
      </dgm:t>
    </dgm:pt>
    <dgm:pt modelId="{45B25FCF-D576-4667-A742-27BC18E7A295}" type="sibTrans" cxnId="{CCFD9A00-48D8-4AC7-B8EC-C08686BE1291}">
      <dgm:prSet/>
      <dgm:spPr/>
      <dgm:t>
        <a:bodyPr/>
        <a:lstStyle/>
        <a:p>
          <a:endParaRPr lang="pt-BR" sz="1000"/>
        </a:p>
      </dgm:t>
    </dgm:pt>
    <dgm:pt modelId="{3A1361DE-15D4-4D77-9511-0ECD6F436875}">
      <dgm:prSet phldrT="[Texto]" custT="1"/>
      <dgm:spPr/>
      <dgm:t>
        <a:bodyPr/>
        <a:lstStyle/>
        <a:p>
          <a:r>
            <a:rPr lang="pt-BR" sz="1000"/>
            <a:t>Cristiane Pagano</a:t>
          </a:r>
        </a:p>
      </dgm:t>
    </dgm:pt>
    <dgm:pt modelId="{E5D7EFDB-AD19-45FF-AB0E-26FEDBC7F2A6}" type="parTrans" cxnId="{AF23E4C5-A325-4621-B10F-604D6A06AB3C}">
      <dgm:prSet/>
      <dgm:spPr/>
      <dgm:t>
        <a:bodyPr/>
        <a:lstStyle/>
        <a:p>
          <a:endParaRPr lang="pt-BR" sz="1000"/>
        </a:p>
      </dgm:t>
    </dgm:pt>
    <dgm:pt modelId="{FBC12E3C-E1DF-48B6-B4C3-9F10D549C9BD}" type="sibTrans" cxnId="{AF23E4C5-A325-4621-B10F-604D6A06AB3C}">
      <dgm:prSet/>
      <dgm:spPr/>
      <dgm:t>
        <a:bodyPr/>
        <a:lstStyle/>
        <a:p>
          <a:endParaRPr lang="pt-BR" sz="1000"/>
        </a:p>
      </dgm:t>
    </dgm:pt>
    <dgm:pt modelId="{1A17A280-CF65-4BF2-9F58-7677009384C3}">
      <dgm:prSet phldrT="[Texto]" custT="1"/>
      <dgm:spPr/>
      <dgm:t>
        <a:bodyPr/>
        <a:lstStyle/>
        <a:p>
          <a:r>
            <a:rPr lang="pt-BR" sz="1000"/>
            <a:t>Amanda Lopes</a:t>
          </a:r>
        </a:p>
      </dgm:t>
    </dgm:pt>
    <dgm:pt modelId="{FC312BDD-6207-4126-BF08-60B420D725D9}" type="parTrans" cxnId="{F24CA94C-3CC7-4835-BACC-E00F7A159E13}">
      <dgm:prSet/>
      <dgm:spPr/>
      <dgm:t>
        <a:bodyPr/>
        <a:lstStyle/>
        <a:p>
          <a:endParaRPr lang="pt-BR" sz="1000"/>
        </a:p>
      </dgm:t>
    </dgm:pt>
    <dgm:pt modelId="{E90586A8-7FB4-4E4E-B97C-772BD1516D8F}" type="sibTrans" cxnId="{F24CA94C-3CC7-4835-BACC-E00F7A159E13}">
      <dgm:prSet/>
      <dgm:spPr/>
      <dgm:t>
        <a:bodyPr/>
        <a:lstStyle/>
        <a:p>
          <a:endParaRPr lang="pt-BR" sz="1000"/>
        </a:p>
      </dgm:t>
    </dgm:pt>
    <dgm:pt modelId="{79906AE2-CDC5-44A8-B189-70703F0B600D}">
      <dgm:prSet phldrT="[Texto]" custT="1"/>
      <dgm:spPr/>
      <dgm:t>
        <a:bodyPr/>
        <a:lstStyle/>
        <a:p>
          <a:r>
            <a:rPr lang="pt-BR" sz="1000"/>
            <a:t>Gestor de e-commerce</a:t>
          </a:r>
        </a:p>
      </dgm:t>
    </dgm:pt>
    <dgm:pt modelId="{0004F5B1-3061-458B-BC3D-9443F897F480}" type="parTrans" cxnId="{1F6731C3-871E-41AC-B23F-5E105EF146E5}">
      <dgm:prSet/>
      <dgm:spPr/>
      <dgm:t>
        <a:bodyPr/>
        <a:lstStyle/>
        <a:p>
          <a:endParaRPr lang="pt-BR" sz="1000"/>
        </a:p>
      </dgm:t>
    </dgm:pt>
    <dgm:pt modelId="{EF3989AB-4F7E-4256-89DD-68637E3F0F79}" type="sibTrans" cxnId="{1F6731C3-871E-41AC-B23F-5E105EF146E5}">
      <dgm:prSet/>
      <dgm:spPr/>
      <dgm:t>
        <a:bodyPr/>
        <a:lstStyle/>
        <a:p>
          <a:endParaRPr lang="pt-BR" sz="1000"/>
        </a:p>
      </dgm:t>
    </dgm:pt>
    <dgm:pt modelId="{13B0BAC9-BB9E-4006-A606-95AEDC69BABE}">
      <dgm:prSet phldrT="[Texto]" custT="1"/>
      <dgm:spPr/>
      <dgm:t>
        <a:bodyPr/>
        <a:lstStyle/>
        <a:p>
          <a:r>
            <a:rPr lang="pt-BR" sz="1000"/>
            <a:t>Gestor de exportação</a:t>
          </a:r>
        </a:p>
      </dgm:t>
    </dgm:pt>
    <dgm:pt modelId="{9DE69D78-18AA-4BEF-AC92-3AFFB9FA14D3}" type="parTrans" cxnId="{035A916A-A701-4293-8661-89B8346BA596}">
      <dgm:prSet/>
      <dgm:spPr/>
      <dgm:t>
        <a:bodyPr/>
        <a:lstStyle/>
        <a:p>
          <a:endParaRPr lang="pt-BR"/>
        </a:p>
      </dgm:t>
    </dgm:pt>
    <dgm:pt modelId="{477165AA-7255-4526-9591-9540937FA265}" type="sibTrans" cxnId="{035A916A-A701-4293-8661-89B8346BA596}">
      <dgm:prSet/>
      <dgm:spPr/>
      <dgm:t>
        <a:bodyPr/>
        <a:lstStyle/>
        <a:p>
          <a:endParaRPr lang="pt-BR"/>
        </a:p>
      </dgm:t>
    </dgm:pt>
    <dgm:pt modelId="{B15DE2A1-4248-436D-AF7F-E619276BEFA7}">
      <dgm:prSet phldrT="[Texto]" custT="1"/>
      <dgm:spPr/>
      <dgm:t>
        <a:bodyPr/>
        <a:lstStyle/>
        <a:p>
          <a:r>
            <a:rPr lang="pt-BR" sz="1000"/>
            <a:t>Sílvia Laliny</a:t>
          </a:r>
        </a:p>
      </dgm:t>
    </dgm:pt>
    <dgm:pt modelId="{0992ABB2-F8DB-4658-AC5F-0F1DE3DB962A}" type="parTrans" cxnId="{B7800CD7-B262-4F9C-B9E6-51B0FD274AC6}">
      <dgm:prSet/>
      <dgm:spPr/>
      <dgm:t>
        <a:bodyPr/>
        <a:lstStyle/>
        <a:p>
          <a:endParaRPr lang="pt-BR"/>
        </a:p>
      </dgm:t>
    </dgm:pt>
    <dgm:pt modelId="{B2042D9F-A7C0-4632-AFE9-BD8F54177810}" type="sibTrans" cxnId="{B7800CD7-B262-4F9C-B9E6-51B0FD274AC6}">
      <dgm:prSet/>
      <dgm:spPr/>
      <dgm:t>
        <a:bodyPr/>
        <a:lstStyle/>
        <a:p>
          <a:endParaRPr lang="pt-BR"/>
        </a:p>
      </dgm:t>
    </dgm:pt>
    <dgm:pt modelId="{9CD6ED92-FD75-4AF3-B6F9-EC8AA710D8F5}">
      <dgm:prSet phldrT="[Texto]" custT="1"/>
      <dgm:spPr/>
      <dgm:t>
        <a:bodyPr/>
        <a:lstStyle/>
        <a:p>
          <a:r>
            <a:rPr lang="pt-BR" sz="1000"/>
            <a:t>Priscila Calvelhe</a:t>
          </a:r>
        </a:p>
      </dgm:t>
    </dgm:pt>
    <dgm:pt modelId="{30A926C1-16AF-4617-8729-6AEB3356EE51}" type="parTrans" cxnId="{718430A1-4852-43CF-834F-FB0B10E8E095}">
      <dgm:prSet/>
      <dgm:spPr/>
      <dgm:t>
        <a:bodyPr/>
        <a:lstStyle/>
        <a:p>
          <a:endParaRPr lang="pt-BR"/>
        </a:p>
      </dgm:t>
    </dgm:pt>
    <dgm:pt modelId="{99E61515-684D-4D28-9951-0226989A4C83}" type="sibTrans" cxnId="{718430A1-4852-43CF-834F-FB0B10E8E095}">
      <dgm:prSet/>
      <dgm:spPr/>
      <dgm:t>
        <a:bodyPr/>
        <a:lstStyle/>
        <a:p>
          <a:endParaRPr lang="pt-BR"/>
        </a:p>
      </dgm:t>
    </dgm:pt>
    <dgm:pt modelId="{5770E59D-63CD-4FDC-9871-F1F07ED00EB5}">
      <dgm:prSet phldrT="[Texto]" custT="1"/>
      <dgm:spPr/>
      <dgm:t>
        <a:bodyPr/>
        <a:lstStyle/>
        <a:p>
          <a:r>
            <a:rPr lang="pt-BR" sz="1000"/>
            <a:t>Victória</a:t>
          </a:r>
        </a:p>
      </dgm:t>
    </dgm:pt>
    <dgm:pt modelId="{82BE8713-E9A9-42B2-8110-D5E2167FF1B5}" type="parTrans" cxnId="{F880E641-AF49-4CC0-9257-A2C50A96E259}">
      <dgm:prSet/>
      <dgm:spPr/>
      <dgm:t>
        <a:bodyPr/>
        <a:lstStyle/>
        <a:p>
          <a:endParaRPr lang="pt-BR"/>
        </a:p>
      </dgm:t>
    </dgm:pt>
    <dgm:pt modelId="{05B12985-7264-408B-94A9-5F5FECBDDB4E}" type="sibTrans" cxnId="{F880E641-AF49-4CC0-9257-A2C50A96E259}">
      <dgm:prSet/>
      <dgm:spPr/>
      <dgm:t>
        <a:bodyPr/>
        <a:lstStyle/>
        <a:p>
          <a:endParaRPr lang="pt-BR"/>
        </a:p>
      </dgm:t>
    </dgm:pt>
    <dgm:pt modelId="{9BEC76F9-F52E-4433-8107-7A702E0B593A}">
      <dgm:prSet phldrT="[Texto]" custT="1"/>
      <dgm:spPr/>
      <dgm:t>
        <a:bodyPr/>
        <a:lstStyle/>
        <a:p>
          <a:r>
            <a:rPr lang="pt-BR" sz="1000"/>
            <a:t>Jéssica</a:t>
          </a:r>
        </a:p>
      </dgm:t>
    </dgm:pt>
    <dgm:pt modelId="{5C1AA477-74BD-4347-9414-68F4AB95180D}" type="parTrans" cxnId="{9CB3BC76-9A8F-4101-B953-3502D0F558DC}">
      <dgm:prSet/>
      <dgm:spPr/>
      <dgm:t>
        <a:bodyPr/>
        <a:lstStyle/>
        <a:p>
          <a:endParaRPr lang="pt-BR"/>
        </a:p>
      </dgm:t>
    </dgm:pt>
    <dgm:pt modelId="{96AAC04B-DC0C-48FE-962A-6AEBEDD0B4A8}" type="sibTrans" cxnId="{9CB3BC76-9A8F-4101-B953-3502D0F558DC}">
      <dgm:prSet/>
      <dgm:spPr/>
      <dgm:t>
        <a:bodyPr/>
        <a:lstStyle/>
        <a:p>
          <a:endParaRPr lang="pt-BR"/>
        </a:p>
      </dgm:t>
    </dgm:pt>
    <dgm:pt modelId="{FA6D3483-692D-4408-931B-4FE6165263E4}">
      <dgm:prSet phldrT="[Texto]" custT="1"/>
      <dgm:spPr/>
      <dgm:t>
        <a:bodyPr/>
        <a:lstStyle/>
        <a:p>
          <a:r>
            <a:rPr lang="pt-BR" sz="1000"/>
            <a:t>Janete</a:t>
          </a:r>
        </a:p>
      </dgm:t>
    </dgm:pt>
    <dgm:pt modelId="{F02A8144-2DA0-4A81-9B76-2C16651C8C64}" type="parTrans" cxnId="{D850C302-67A5-4A83-80A3-655EEB81D454}">
      <dgm:prSet/>
      <dgm:spPr/>
      <dgm:t>
        <a:bodyPr/>
        <a:lstStyle/>
        <a:p>
          <a:endParaRPr lang="pt-BR"/>
        </a:p>
      </dgm:t>
    </dgm:pt>
    <dgm:pt modelId="{DD50B814-D83E-4A3C-9966-441E3F4A0E2E}" type="sibTrans" cxnId="{D850C302-67A5-4A83-80A3-655EEB81D454}">
      <dgm:prSet/>
      <dgm:spPr/>
      <dgm:t>
        <a:bodyPr/>
        <a:lstStyle/>
        <a:p>
          <a:endParaRPr lang="pt-BR"/>
        </a:p>
      </dgm:t>
    </dgm:pt>
    <dgm:pt modelId="{9AF6C671-EDF3-400A-BCFF-C1A9276F90FC}">
      <dgm:prSet phldrT="[Texto]" custT="1"/>
      <dgm:spPr/>
      <dgm:t>
        <a:bodyPr/>
        <a:lstStyle/>
        <a:p>
          <a:r>
            <a:rPr lang="pt-BR" sz="1000"/>
            <a:t>Adriana</a:t>
          </a:r>
        </a:p>
      </dgm:t>
    </dgm:pt>
    <dgm:pt modelId="{AB4E1661-77BD-47D6-AC22-1FD25251AF95}" type="parTrans" cxnId="{8F627D89-512D-4257-8C3D-03D248D4DC4E}">
      <dgm:prSet/>
      <dgm:spPr/>
      <dgm:t>
        <a:bodyPr/>
        <a:lstStyle/>
        <a:p>
          <a:endParaRPr lang="pt-BR"/>
        </a:p>
      </dgm:t>
    </dgm:pt>
    <dgm:pt modelId="{4C7C2886-3BB4-4BA9-9299-6C6318D8E7D6}" type="sibTrans" cxnId="{8F627D89-512D-4257-8C3D-03D248D4DC4E}">
      <dgm:prSet/>
      <dgm:spPr/>
      <dgm:t>
        <a:bodyPr/>
        <a:lstStyle/>
        <a:p>
          <a:endParaRPr lang="pt-BR"/>
        </a:p>
      </dgm:t>
    </dgm:pt>
    <dgm:pt modelId="{D1CA8D4B-1C74-4411-BB89-9AD8AE3602C5}">
      <dgm:prSet phldrT="[Texto]" custT="1"/>
      <dgm:spPr/>
      <dgm:t>
        <a:bodyPr/>
        <a:lstStyle/>
        <a:p>
          <a:r>
            <a:rPr lang="pt-BR" sz="1000"/>
            <a:t>Dayane</a:t>
          </a:r>
        </a:p>
      </dgm:t>
    </dgm:pt>
    <dgm:pt modelId="{572F1BAF-4672-4CE9-B700-F0CD1DC3CD89}" type="parTrans" cxnId="{3E4EFD7F-5A47-450A-AB3F-41EE1035D5C6}">
      <dgm:prSet/>
      <dgm:spPr/>
      <dgm:t>
        <a:bodyPr/>
        <a:lstStyle/>
        <a:p>
          <a:endParaRPr lang="pt-BR"/>
        </a:p>
      </dgm:t>
    </dgm:pt>
    <dgm:pt modelId="{9ECEE3F2-C9BA-4055-9D6A-5D19D2309C45}" type="sibTrans" cxnId="{3E4EFD7F-5A47-450A-AB3F-41EE1035D5C6}">
      <dgm:prSet/>
      <dgm:spPr/>
      <dgm:t>
        <a:bodyPr/>
        <a:lstStyle/>
        <a:p>
          <a:endParaRPr lang="pt-BR"/>
        </a:p>
      </dgm:t>
    </dgm:pt>
    <dgm:pt modelId="{8D7FECC9-22A2-45F8-9D81-CDE2141E7488}">
      <dgm:prSet phldrT="[Texto]" custT="1"/>
      <dgm:spPr/>
      <dgm:t>
        <a:bodyPr/>
        <a:lstStyle/>
        <a:p>
          <a:r>
            <a:rPr lang="pt-BR" sz="1000"/>
            <a:t>Elisângela</a:t>
          </a:r>
        </a:p>
      </dgm:t>
    </dgm:pt>
    <dgm:pt modelId="{948734C0-BE17-477B-AD70-AA0792B87F16}" type="parTrans" cxnId="{5276360E-6609-4343-ACC8-4DF83884CD76}">
      <dgm:prSet/>
      <dgm:spPr/>
      <dgm:t>
        <a:bodyPr/>
        <a:lstStyle/>
        <a:p>
          <a:endParaRPr lang="pt-BR"/>
        </a:p>
      </dgm:t>
    </dgm:pt>
    <dgm:pt modelId="{E46BC042-83BC-475D-AE54-0B4CA92249FA}" type="sibTrans" cxnId="{5276360E-6609-4343-ACC8-4DF83884CD76}">
      <dgm:prSet/>
      <dgm:spPr/>
      <dgm:t>
        <a:bodyPr/>
        <a:lstStyle/>
        <a:p>
          <a:endParaRPr lang="pt-BR"/>
        </a:p>
      </dgm:t>
    </dgm:pt>
    <dgm:pt modelId="{A00C769D-8A69-4886-9A4E-6155D5FEEF7C}">
      <dgm:prSet phldrT="[Texto]" custT="1"/>
      <dgm:spPr/>
      <dgm:t>
        <a:bodyPr/>
        <a:lstStyle/>
        <a:p>
          <a:r>
            <a:rPr lang="pt-BR" sz="1000"/>
            <a:t>Eduarda</a:t>
          </a:r>
        </a:p>
      </dgm:t>
    </dgm:pt>
    <dgm:pt modelId="{56E2CF09-1E5A-4E71-800D-EE91066DC5C8}" type="parTrans" cxnId="{40640FB3-2B92-4711-8FB2-20AEC380908A}">
      <dgm:prSet/>
      <dgm:spPr/>
      <dgm:t>
        <a:bodyPr/>
        <a:lstStyle/>
        <a:p>
          <a:endParaRPr lang="pt-BR"/>
        </a:p>
      </dgm:t>
    </dgm:pt>
    <dgm:pt modelId="{63095156-4768-4ABB-8AEB-89A82E702723}" type="sibTrans" cxnId="{40640FB3-2B92-4711-8FB2-20AEC380908A}">
      <dgm:prSet/>
      <dgm:spPr/>
      <dgm:t>
        <a:bodyPr/>
        <a:lstStyle/>
        <a:p>
          <a:endParaRPr lang="pt-BR"/>
        </a:p>
      </dgm:t>
    </dgm:pt>
    <dgm:pt modelId="{354399C6-253A-4805-9C8E-9D936CFB3D74}">
      <dgm:prSet phldrT="[Texto]" custT="1"/>
      <dgm:spPr/>
      <dgm:t>
        <a:bodyPr/>
        <a:lstStyle/>
        <a:p>
          <a:r>
            <a:rPr lang="pt-BR" sz="1000"/>
            <a:t>Merchandising</a:t>
          </a:r>
        </a:p>
      </dgm:t>
    </dgm:pt>
    <dgm:pt modelId="{8A53DB7E-D430-4431-8701-E90986706C16}" type="parTrans" cxnId="{60952102-A74D-422B-9173-3B88A4D75418}">
      <dgm:prSet/>
      <dgm:spPr/>
      <dgm:t>
        <a:bodyPr/>
        <a:lstStyle/>
        <a:p>
          <a:endParaRPr lang="pt-BR"/>
        </a:p>
      </dgm:t>
    </dgm:pt>
    <dgm:pt modelId="{073D5406-321A-40BC-B71A-A98316AD1B4E}" type="sibTrans" cxnId="{60952102-A74D-422B-9173-3B88A4D75418}">
      <dgm:prSet/>
      <dgm:spPr/>
      <dgm:t>
        <a:bodyPr/>
        <a:lstStyle/>
        <a:p>
          <a:endParaRPr lang="pt-BR"/>
        </a:p>
      </dgm:t>
    </dgm:pt>
    <dgm:pt modelId="{7355FDD0-FCD6-48D6-9915-AA4DE669A3F5}">
      <dgm:prSet phldrT="[Texto]" custT="1"/>
      <dgm:spPr/>
      <dgm:t>
        <a:bodyPr/>
        <a:lstStyle/>
        <a:p>
          <a:r>
            <a:rPr lang="pt-BR" sz="1000"/>
            <a:t>Júlio</a:t>
          </a:r>
        </a:p>
      </dgm:t>
    </dgm:pt>
    <dgm:pt modelId="{9AC35492-884C-4A86-B7EC-CF6D785C00AB}" type="parTrans" cxnId="{5CB9A1F8-07C2-4ABF-9B37-5F8BEFD4FD17}">
      <dgm:prSet/>
      <dgm:spPr/>
      <dgm:t>
        <a:bodyPr/>
        <a:lstStyle/>
        <a:p>
          <a:endParaRPr lang="pt-BR"/>
        </a:p>
      </dgm:t>
    </dgm:pt>
    <dgm:pt modelId="{81134237-5380-4395-ABA9-49DAC58DDACB}" type="sibTrans" cxnId="{5CB9A1F8-07C2-4ABF-9B37-5F8BEFD4FD17}">
      <dgm:prSet/>
      <dgm:spPr/>
      <dgm:t>
        <a:bodyPr/>
        <a:lstStyle/>
        <a:p>
          <a:endParaRPr lang="pt-BR"/>
        </a:p>
      </dgm:t>
    </dgm:pt>
    <dgm:pt modelId="{33090DF0-EAB5-4260-936E-418FD0B1265D}">
      <dgm:prSet phldrT="[Texto]" custT="1"/>
      <dgm:spPr/>
      <dgm:t>
        <a:bodyPr/>
        <a:lstStyle/>
        <a:p>
          <a:r>
            <a:rPr lang="pt-BR" sz="1000"/>
            <a:t>Jonas</a:t>
          </a:r>
        </a:p>
      </dgm:t>
    </dgm:pt>
    <dgm:pt modelId="{52388ED5-A43D-40D4-BF3B-9DEEC4F04EEB}" type="parTrans" cxnId="{AEFFC6CB-C2E3-4081-A261-354AEAE4B4E9}">
      <dgm:prSet/>
      <dgm:spPr/>
      <dgm:t>
        <a:bodyPr/>
        <a:lstStyle/>
        <a:p>
          <a:endParaRPr lang="pt-BR"/>
        </a:p>
      </dgm:t>
    </dgm:pt>
    <dgm:pt modelId="{F0A9B15E-EB87-4BEE-A5E5-D23E4C59C924}" type="sibTrans" cxnId="{AEFFC6CB-C2E3-4081-A261-354AEAE4B4E9}">
      <dgm:prSet/>
      <dgm:spPr/>
      <dgm:t>
        <a:bodyPr/>
        <a:lstStyle/>
        <a:p>
          <a:endParaRPr lang="pt-BR"/>
        </a:p>
      </dgm:t>
    </dgm:pt>
    <dgm:pt modelId="{81CD926B-86DD-4AE8-891F-1EA761D9CB16}">
      <dgm:prSet phldrT="[Texto]" custT="1"/>
      <dgm:spPr/>
      <dgm:t>
        <a:bodyPr/>
        <a:lstStyle/>
        <a:p>
          <a:r>
            <a:rPr lang="pt-BR" sz="1000"/>
            <a:t>Rosângela</a:t>
          </a:r>
        </a:p>
      </dgm:t>
    </dgm:pt>
    <dgm:pt modelId="{32A36891-4B54-4488-AA29-D185AA456779}" type="parTrans" cxnId="{DD5E6203-6FBD-4063-8321-FB0A58B903FF}">
      <dgm:prSet/>
      <dgm:spPr/>
      <dgm:t>
        <a:bodyPr/>
        <a:lstStyle/>
        <a:p>
          <a:endParaRPr lang="pt-BR"/>
        </a:p>
      </dgm:t>
    </dgm:pt>
    <dgm:pt modelId="{82EDC575-CEFA-4740-A34D-9243C89B734A}" type="sibTrans" cxnId="{DD5E6203-6FBD-4063-8321-FB0A58B903FF}">
      <dgm:prSet/>
      <dgm:spPr/>
      <dgm:t>
        <a:bodyPr/>
        <a:lstStyle/>
        <a:p>
          <a:endParaRPr lang="pt-BR"/>
        </a:p>
      </dgm:t>
    </dgm:pt>
    <dgm:pt modelId="{5C754CE0-A0A5-47AC-9EF6-FEE0E4DBB350}">
      <dgm:prSet phldrT="[Texto]" custT="1"/>
      <dgm:spPr/>
      <dgm:t>
        <a:bodyPr/>
        <a:lstStyle/>
        <a:p>
          <a:r>
            <a:rPr lang="pt-BR" sz="1000"/>
            <a:t>Thiana</a:t>
          </a:r>
        </a:p>
      </dgm:t>
    </dgm:pt>
    <dgm:pt modelId="{40B1E693-1CEE-4C6D-BBF1-609E70F91410}" type="parTrans" cxnId="{FFAF9333-8EBC-438C-87FA-0AFF8EFE9A0D}">
      <dgm:prSet/>
      <dgm:spPr/>
      <dgm:t>
        <a:bodyPr/>
        <a:lstStyle/>
        <a:p>
          <a:endParaRPr lang="pt-BR"/>
        </a:p>
      </dgm:t>
    </dgm:pt>
    <dgm:pt modelId="{A56EB082-0AC0-4566-88A3-9A910DFD9D8B}" type="sibTrans" cxnId="{FFAF9333-8EBC-438C-87FA-0AFF8EFE9A0D}">
      <dgm:prSet/>
      <dgm:spPr/>
      <dgm:t>
        <a:bodyPr/>
        <a:lstStyle/>
        <a:p>
          <a:endParaRPr lang="pt-BR"/>
        </a:p>
      </dgm:t>
    </dgm:pt>
    <dgm:pt modelId="{A0587F12-EAD7-4D62-89E3-54A6153D93CD}">
      <dgm:prSet phldrT="[Texto]" custT="1"/>
      <dgm:spPr/>
      <dgm:t>
        <a:bodyPr/>
        <a:lstStyle/>
        <a:p>
          <a:r>
            <a:rPr lang="pt-BR" sz="1000"/>
            <a:t>Janaína</a:t>
          </a:r>
        </a:p>
      </dgm:t>
    </dgm:pt>
    <dgm:pt modelId="{E73D39C2-9274-4477-8843-EE46CF9A0726}" type="parTrans" cxnId="{481A404F-06CB-40A8-BB6E-D39FB433DBEE}">
      <dgm:prSet/>
      <dgm:spPr/>
      <dgm:t>
        <a:bodyPr/>
        <a:lstStyle/>
        <a:p>
          <a:endParaRPr lang="pt-BR"/>
        </a:p>
      </dgm:t>
    </dgm:pt>
    <dgm:pt modelId="{AE9F8152-B0F5-4839-8D0B-F076004F0DBC}" type="sibTrans" cxnId="{481A404F-06CB-40A8-BB6E-D39FB433DBEE}">
      <dgm:prSet/>
      <dgm:spPr/>
      <dgm:t>
        <a:bodyPr/>
        <a:lstStyle/>
        <a:p>
          <a:endParaRPr lang="pt-BR"/>
        </a:p>
      </dgm:t>
    </dgm:pt>
    <dgm:pt modelId="{13F179E9-8A01-4798-B555-6385EAF36449}">
      <dgm:prSet phldrT="[Texto]" custT="1"/>
      <dgm:spPr/>
      <dgm:t>
        <a:bodyPr/>
        <a:lstStyle/>
        <a:p>
          <a:r>
            <a:rPr lang="pt-BR" sz="1000"/>
            <a:t>Jemerson</a:t>
          </a:r>
        </a:p>
      </dgm:t>
    </dgm:pt>
    <dgm:pt modelId="{1E1C593C-1DE9-4E69-AA20-3D941F225B12}" type="parTrans" cxnId="{801E2476-08C0-4CD3-B8DB-19770091222A}">
      <dgm:prSet/>
      <dgm:spPr/>
      <dgm:t>
        <a:bodyPr/>
        <a:lstStyle/>
        <a:p>
          <a:endParaRPr lang="pt-BR"/>
        </a:p>
      </dgm:t>
    </dgm:pt>
    <dgm:pt modelId="{FC4F6934-6335-4A71-B34E-2BB09B539D0C}" type="sibTrans" cxnId="{801E2476-08C0-4CD3-B8DB-19770091222A}">
      <dgm:prSet/>
      <dgm:spPr/>
      <dgm:t>
        <a:bodyPr/>
        <a:lstStyle/>
        <a:p>
          <a:endParaRPr lang="pt-BR"/>
        </a:p>
      </dgm:t>
    </dgm:pt>
    <dgm:pt modelId="{40BC9715-D5ED-4439-8AFD-1EFB3053FD67}">
      <dgm:prSet phldrT="[Texto]" custT="1"/>
      <dgm:spPr/>
      <dgm:t>
        <a:bodyPr/>
        <a:lstStyle/>
        <a:p>
          <a:r>
            <a:rPr lang="pt-BR" sz="1000"/>
            <a:t>Emilly</a:t>
          </a:r>
        </a:p>
      </dgm:t>
    </dgm:pt>
    <dgm:pt modelId="{D711248B-65A9-434F-9552-A238DE8808A8}" type="parTrans" cxnId="{15C3DDEC-C5F8-4BA1-A864-3854EAB6B089}">
      <dgm:prSet/>
      <dgm:spPr/>
      <dgm:t>
        <a:bodyPr/>
        <a:lstStyle/>
        <a:p>
          <a:endParaRPr lang="pt-BR"/>
        </a:p>
      </dgm:t>
    </dgm:pt>
    <dgm:pt modelId="{223729A2-0E5F-4D85-967A-C6ABD5F9C2D0}" type="sibTrans" cxnId="{15C3DDEC-C5F8-4BA1-A864-3854EAB6B089}">
      <dgm:prSet/>
      <dgm:spPr/>
      <dgm:t>
        <a:bodyPr/>
        <a:lstStyle/>
        <a:p>
          <a:endParaRPr lang="pt-BR"/>
        </a:p>
      </dgm:t>
    </dgm:pt>
    <dgm:pt modelId="{9BB58A88-20AE-4A95-A6F1-A968783D2AB3}">
      <dgm:prSet phldrT="[Texto]" custT="1"/>
      <dgm:spPr/>
      <dgm:t>
        <a:bodyPr/>
        <a:lstStyle/>
        <a:p>
          <a:r>
            <a:rPr lang="pt-BR" sz="1000"/>
            <a:t>Mariana</a:t>
          </a:r>
        </a:p>
      </dgm:t>
    </dgm:pt>
    <dgm:pt modelId="{5626FA9D-7819-4BB5-821D-050A1D8CBB6F}" type="parTrans" cxnId="{3973100F-ABBD-4D06-906C-028D2109E4CE}">
      <dgm:prSet/>
      <dgm:spPr/>
      <dgm:t>
        <a:bodyPr/>
        <a:lstStyle/>
        <a:p>
          <a:endParaRPr lang="pt-BR"/>
        </a:p>
      </dgm:t>
    </dgm:pt>
    <dgm:pt modelId="{10235A16-0935-400F-A3E3-218DF51C5EDB}" type="sibTrans" cxnId="{3973100F-ABBD-4D06-906C-028D2109E4CE}">
      <dgm:prSet/>
      <dgm:spPr/>
      <dgm:t>
        <a:bodyPr/>
        <a:lstStyle/>
        <a:p>
          <a:endParaRPr lang="pt-BR"/>
        </a:p>
      </dgm:t>
    </dgm:pt>
    <dgm:pt modelId="{02014D20-373A-4D79-9887-3DB16EFCAB9B}">
      <dgm:prSet phldrT="[Texto]" custT="1"/>
      <dgm:spPr/>
      <dgm:t>
        <a:bodyPr/>
        <a:lstStyle/>
        <a:p>
          <a:r>
            <a:rPr lang="pt-BR" sz="1000"/>
            <a:t>Vinícius</a:t>
          </a:r>
        </a:p>
      </dgm:t>
    </dgm:pt>
    <dgm:pt modelId="{8746137D-48A9-4014-A1F9-2A253E2BDD0A}" type="parTrans" cxnId="{92089D46-5EC3-495C-A65F-40CDF5275815}">
      <dgm:prSet/>
      <dgm:spPr/>
      <dgm:t>
        <a:bodyPr/>
        <a:lstStyle/>
        <a:p>
          <a:endParaRPr lang="pt-BR"/>
        </a:p>
      </dgm:t>
    </dgm:pt>
    <dgm:pt modelId="{21CB3733-DD0F-4234-BCB9-CBA83155600B}" type="sibTrans" cxnId="{92089D46-5EC3-495C-A65F-40CDF5275815}">
      <dgm:prSet/>
      <dgm:spPr/>
      <dgm:t>
        <a:bodyPr/>
        <a:lstStyle/>
        <a:p>
          <a:endParaRPr lang="pt-BR"/>
        </a:p>
      </dgm:t>
    </dgm:pt>
    <dgm:pt modelId="{BE9F4489-61DE-4E21-8466-C58F659B20EB}">
      <dgm:prSet phldrT="[Texto]" custT="1"/>
      <dgm:spPr/>
      <dgm:t>
        <a:bodyPr/>
        <a:lstStyle/>
        <a:p>
          <a:r>
            <a:rPr lang="pt-BR" sz="1000"/>
            <a:t>Caio</a:t>
          </a:r>
        </a:p>
      </dgm:t>
    </dgm:pt>
    <dgm:pt modelId="{9F628B97-7305-415D-9BDE-311EEFE838E9}" type="parTrans" cxnId="{8661B434-FAFC-4BA3-BEE0-16FDD94107C9}">
      <dgm:prSet/>
      <dgm:spPr/>
      <dgm:t>
        <a:bodyPr/>
        <a:lstStyle/>
        <a:p>
          <a:endParaRPr lang="pt-BR"/>
        </a:p>
      </dgm:t>
    </dgm:pt>
    <dgm:pt modelId="{A88D4D16-E987-483C-BC6E-EC97691A709A}" type="sibTrans" cxnId="{8661B434-FAFC-4BA3-BEE0-16FDD94107C9}">
      <dgm:prSet/>
      <dgm:spPr/>
      <dgm:t>
        <a:bodyPr/>
        <a:lstStyle/>
        <a:p>
          <a:endParaRPr lang="pt-BR"/>
        </a:p>
      </dgm:t>
    </dgm:pt>
    <dgm:pt modelId="{17164990-90AE-4309-9F9C-E39FDEC6924B}">
      <dgm:prSet phldrT="[Texto]" custT="1"/>
      <dgm:spPr/>
      <dgm:t>
        <a:bodyPr/>
        <a:lstStyle/>
        <a:p>
          <a:r>
            <a:rPr lang="pt-BR" sz="1000"/>
            <a:t>Artur</a:t>
          </a:r>
        </a:p>
      </dgm:t>
    </dgm:pt>
    <dgm:pt modelId="{7A48CB25-8C54-491A-A50A-761F16983D0C}" type="parTrans" cxnId="{FEE15E44-42F5-4D30-8379-63DF4A7BADA8}">
      <dgm:prSet/>
      <dgm:spPr/>
      <dgm:t>
        <a:bodyPr/>
        <a:lstStyle/>
        <a:p>
          <a:endParaRPr lang="pt-BR"/>
        </a:p>
      </dgm:t>
    </dgm:pt>
    <dgm:pt modelId="{25214186-32A3-4C5F-8DAD-ABC2D589A34D}" type="sibTrans" cxnId="{FEE15E44-42F5-4D30-8379-63DF4A7BADA8}">
      <dgm:prSet/>
      <dgm:spPr/>
      <dgm:t>
        <a:bodyPr/>
        <a:lstStyle/>
        <a:p>
          <a:endParaRPr lang="pt-BR"/>
        </a:p>
      </dgm:t>
    </dgm:pt>
    <dgm:pt modelId="{30C2DBB5-FF1A-4B31-A605-0038EF732E70}">
      <dgm:prSet phldrT="[Texto]" custT="1"/>
      <dgm:spPr/>
      <dgm:t>
        <a:bodyPr/>
        <a:lstStyle/>
        <a:p>
          <a:r>
            <a:rPr lang="pt-BR" sz="1000"/>
            <a:t>Ana Cláudia</a:t>
          </a:r>
        </a:p>
      </dgm:t>
    </dgm:pt>
    <dgm:pt modelId="{042F2B56-478B-4A9D-B339-ED99572BD008}" type="parTrans" cxnId="{CB610D66-193F-43B8-ADBF-9608397B751C}">
      <dgm:prSet/>
      <dgm:spPr/>
      <dgm:t>
        <a:bodyPr/>
        <a:lstStyle/>
        <a:p>
          <a:endParaRPr lang="pt-BR"/>
        </a:p>
      </dgm:t>
    </dgm:pt>
    <dgm:pt modelId="{BD3AD924-FB51-40FA-9FC7-39185EC2B4EE}" type="sibTrans" cxnId="{CB610D66-193F-43B8-ADBF-9608397B751C}">
      <dgm:prSet/>
      <dgm:spPr/>
      <dgm:t>
        <a:bodyPr/>
        <a:lstStyle/>
        <a:p>
          <a:endParaRPr lang="pt-BR"/>
        </a:p>
      </dgm:t>
    </dgm:pt>
    <dgm:pt modelId="{458C7036-E34C-4987-8F36-DD276ADC28D8}">
      <dgm:prSet phldrT="[Texto]" custT="1"/>
      <dgm:spPr/>
      <dgm:t>
        <a:bodyPr/>
        <a:lstStyle/>
        <a:p>
          <a:r>
            <a:rPr lang="pt-BR" sz="1000"/>
            <a:t>Gustavo</a:t>
          </a:r>
        </a:p>
      </dgm:t>
    </dgm:pt>
    <dgm:pt modelId="{06246C81-8189-48E3-B444-BB7475F66864}" type="parTrans" cxnId="{B50CD903-325D-429E-8806-15DCBB53AB8E}">
      <dgm:prSet/>
      <dgm:spPr/>
      <dgm:t>
        <a:bodyPr/>
        <a:lstStyle/>
        <a:p>
          <a:endParaRPr lang="pt-BR"/>
        </a:p>
      </dgm:t>
    </dgm:pt>
    <dgm:pt modelId="{213715C2-49EB-4E4A-B363-199A02E715EA}" type="sibTrans" cxnId="{B50CD903-325D-429E-8806-15DCBB53AB8E}">
      <dgm:prSet/>
      <dgm:spPr/>
      <dgm:t>
        <a:bodyPr/>
        <a:lstStyle/>
        <a:p>
          <a:endParaRPr lang="pt-BR"/>
        </a:p>
      </dgm:t>
    </dgm:pt>
    <dgm:pt modelId="{E4EDC9E5-38CF-457B-8215-15F9D07B755D}">
      <dgm:prSet phldrT="[Texto]" custT="1"/>
      <dgm:spPr/>
      <dgm:t>
        <a:bodyPr/>
        <a:lstStyle/>
        <a:p>
          <a:r>
            <a:rPr lang="pt-BR" sz="1000"/>
            <a:t>Juliene</a:t>
          </a:r>
        </a:p>
      </dgm:t>
    </dgm:pt>
    <dgm:pt modelId="{40713A56-461F-438B-8F50-66D94A742850}" type="parTrans" cxnId="{FB351685-ABAD-4AFD-977D-50EBEF5D6D2C}">
      <dgm:prSet/>
      <dgm:spPr/>
      <dgm:t>
        <a:bodyPr/>
        <a:lstStyle/>
        <a:p>
          <a:endParaRPr lang="pt-BR"/>
        </a:p>
      </dgm:t>
    </dgm:pt>
    <dgm:pt modelId="{D816B0BE-BA61-4161-A471-60F34B90C54A}" type="sibTrans" cxnId="{FB351685-ABAD-4AFD-977D-50EBEF5D6D2C}">
      <dgm:prSet/>
      <dgm:spPr/>
      <dgm:t>
        <a:bodyPr/>
        <a:lstStyle/>
        <a:p>
          <a:endParaRPr lang="pt-BR"/>
        </a:p>
      </dgm:t>
    </dgm:pt>
    <dgm:pt modelId="{F621E028-200F-4EEF-B81C-78341D4D1C39}">
      <dgm:prSet phldrT="[Texto]" custT="1"/>
      <dgm:spPr/>
      <dgm:t>
        <a:bodyPr/>
        <a:lstStyle/>
        <a:p>
          <a:r>
            <a:rPr lang="pt-BR" sz="1000"/>
            <a:t>Grazielli</a:t>
          </a:r>
        </a:p>
      </dgm:t>
    </dgm:pt>
    <dgm:pt modelId="{57C9BB0A-CBCD-40DA-A523-68C50B1F19E2}" type="parTrans" cxnId="{884C0E01-312C-41D2-9767-D9F23862CD45}">
      <dgm:prSet/>
      <dgm:spPr/>
      <dgm:t>
        <a:bodyPr/>
        <a:lstStyle/>
        <a:p>
          <a:endParaRPr lang="pt-BR"/>
        </a:p>
      </dgm:t>
    </dgm:pt>
    <dgm:pt modelId="{9132BA42-BF98-445E-B286-6407F233853D}" type="sibTrans" cxnId="{884C0E01-312C-41D2-9767-D9F23862CD45}">
      <dgm:prSet/>
      <dgm:spPr/>
      <dgm:t>
        <a:bodyPr/>
        <a:lstStyle/>
        <a:p>
          <a:endParaRPr lang="pt-BR"/>
        </a:p>
      </dgm:t>
    </dgm:pt>
    <dgm:pt modelId="{796A48E6-876A-4BC4-AF25-129A077AD029}">
      <dgm:prSet phldrT="[Texto]" custT="1"/>
      <dgm:spPr/>
      <dgm:t>
        <a:bodyPr/>
        <a:lstStyle/>
        <a:p>
          <a:r>
            <a:rPr lang="pt-BR" sz="1000"/>
            <a:t>Amanda Sousa</a:t>
          </a:r>
        </a:p>
      </dgm:t>
    </dgm:pt>
    <dgm:pt modelId="{31B39E32-D1AE-426E-8276-C7FB647E64D7}" type="parTrans" cxnId="{22A157FF-C2EE-4191-BA04-0601D41EC95E}">
      <dgm:prSet/>
      <dgm:spPr/>
      <dgm:t>
        <a:bodyPr/>
        <a:lstStyle/>
        <a:p>
          <a:endParaRPr lang="pt-BR"/>
        </a:p>
      </dgm:t>
    </dgm:pt>
    <dgm:pt modelId="{8E49FCAD-AF8D-4735-A312-0FF0503A993F}" type="sibTrans" cxnId="{22A157FF-C2EE-4191-BA04-0601D41EC95E}">
      <dgm:prSet/>
      <dgm:spPr/>
      <dgm:t>
        <a:bodyPr/>
        <a:lstStyle/>
        <a:p>
          <a:endParaRPr lang="pt-BR"/>
        </a:p>
      </dgm:t>
    </dgm:pt>
    <dgm:pt modelId="{E541C408-B28F-463C-A193-11E927A087A4}">
      <dgm:prSet phldrT="[Texto]" custT="1"/>
      <dgm:spPr/>
      <dgm:t>
        <a:bodyPr/>
        <a:lstStyle/>
        <a:p>
          <a:r>
            <a:rPr lang="pt-BR" sz="1000"/>
            <a:t>Júlia</a:t>
          </a:r>
        </a:p>
      </dgm:t>
    </dgm:pt>
    <dgm:pt modelId="{7897056A-2277-4BBB-9242-DFDF60E12183}" type="parTrans" cxnId="{E26B3B5E-FA99-4756-A980-FFD53B48624C}">
      <dgm:prSet/>
      <dgm:spPr/>
      <dgm:t>
        <a:bodyPr/>
        <a:lstStyle/>
        <a:p>
          <a:endParaRPr lang="pt-BR"/>
        </a:p>
      </dgm:t>
    </dgm:pt>
    <dgm:pt modelId="{D0719E3C-D252-4BB5-9311-7339069664D0}" type="sibTrans" cxnId="{E26B3B5E-FA99-4756-A980-FFD53B48624C}">
      <dgm:prSet/>
      <dgm:spPr/>
      <dgm:t>
        <a:bodyPr/>
        <a:lstStyle/>
        <a:p>
          <a:endParaRPr lang="pt-BR"/>
        </a:p>
      </dgm:t>
    </dgm:pt>
    <dgm:pt modelId="{16F209AE-90DC-4B4E-8C44-235200F83B96}">
      <dgm:prSet phldrT="[Texto]" custT="1"/>
      <dgm:spPr/>
      <dgm:t>
        <a:bodyPr/>
        <a:lstStyle/>
        <a:p>
          <a:r>
            <a:rPr lang="pt-BR" sz="1000"/>
            <a:t>Yasmin</a:t>
          </a:r>
        </a:p>
      </dgm:t>
    </dgm:pt>
    <dgm:pt modelId="{110618BD-5653-4D3D-814B-A58ACDE11EAF}" type="parTrans" cxnId="{5209389D-865E-434B-9F0F-A4A147EA40DC}">
      <dgm:prSet/>
      <dgm:spPr/>
      <dgm:t>
        <a:bodyPr/>
        <a:lstStyle/>
        <a:p>
          <a:endParaRPr lang="pt-BR"/>
        </a:p>
      </dgm:t>
    </dgm:pt>
    <dgm:pt modelId="{A0A0E02F-ABAF-4289-9C2F-C4E1ECE977F6}" type="sibTrans" cxnId="{5209389D-865E-434B-9F0F-A4A147EA40DC}">
      <dgm:prSet/>
      <dgm:spPr/>
      <dgm:t>
        <a:bodyPr/>
        <a:lstStyle/>
        <a:p>
          <a:endParaRPr lang="pt-BR"/>
        </a:p>
      </dgm:t>
    </dgm:pt>
    <dgm:pt modelId="{5B5FC3E0-602B-4A14-8622-52E61B7A3DF3}" type="pres">
      <dgm:prSet presAssocID="{4354C341-1619-418E-A93A-2FA89798B57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83AFF851-9305-49E8-B966-F4DBEC8E43B1}" type="pres">
      <dgm:prSet presAssocID="{4F706629-3B5A-42A7-95BD-CDAF79F0124C}" presName="hierRoot1" presStyleCnt="0">
        <dgm:presLayoutVars>
          <dgm:hierBranch val="init"/>
        </dgm:presLayoutVars>
      </dgm:prSet>
      <dgm:spPr/>
    </dgm:pt>
    <dgm:pt modelId="{69BF10C0-9598-418A-A5F0-A4D00670EF7E}" type="pres">
      <dgm:prSet presAssocID="{4F706629-3B5A-42A7-95BD-CDAF79F0124C}" presName="rootComposite1" presStyleCnt="0"/>
      <dgm:spPr/>
    </dgm:pt>
    <dgm:pt modelId="{3ACAED5E-3DE0-482B-AB7E-87BE6098197C}" type="pres">
      <dgm:prSet presAssocID="{4F706629-3B5A-42A7-95BD-CDAF79F0124C}" presName="rootText1" presStyleLbl="node0" presStyleIdx="0" presStyleCnt="1">
        <dgm:presLayoutVars>
          <dgm:chPref val="3"/>
        </dgm:presLayoutVars>
      </dgm:prSet>
      <dgm:spPr/>
    </dgm:pt>
    <dgm:pt modelId="{8BFBD6CA-EE25-425F-B530-51853160CEE1}" type="pres">
      <dgm:prSet presAssocID="{4F706629-3B5A-42A7-95BD-CDAF79F0124C}" presName="rootConnector1" presStyleLbl="node1" presStyleIdx="0" presStyleCnt="0"/>
      <dgm:spPr/>
    </dgm:pt>
    <dgm:pt modelId="{0BFCBC33-D050-4286-A1C2-CE4B077F0DCD}" type="pres">
      <dgm:prSet presAssocID="{4F706629-3B5A-42A7-95BD-CDAF79F0124C}" presName="hierChild2" presStyleCnt="0"/>
      <dgm:spPr/>
    </dgm:pt>
    <dgm:pt modelId="{47FD7B8A-3A1A-4E56-B36D-9A412BF7207C}" type="pres">
      <dgm:prSet presAssocID="{30A926C1-16AF-4617-8729-6AEB3356EE51}" presName="Name37" presStyleLbl="parChTrans1D2" presStyleIdx="0" presStyleCnt="6"/>
      <dgm:spPr/>
    </dgm:pt>
    <dgm:pt modelId="{97A70878-F719-48A1-B7A7-B85CB3258248}" type="pres">
      <dgm:prSet presAssocID="{9CD6ED92-FD75-4AF3-B6F9-EC8AA710D8F5}" presName="hierRoot2" presStyleCnt="0">
        <dgm:presLayoutVars>
          <dgm:hierBranch val="init"/>
        </dgm:presLayoutVars>
      </dgm:prSet>
      <dgm:spPr/>
    </dgm:pt>
    <dgm:pt modelId="{9A46461E-84B3-4E8D-B477-567B6CA51236}" type="pres">
      <dgm:prSet presAssocID="{9CD6ED92-FD75-4AF3-B6F9-EC8AA710D8F5}" presName="rootComposite" presStyleCnt="0"/>
      <dgm:spPr/>
    </dgm:pt>
    <dgm:pt modelId="{DC1698E8-772B-4CF1-AAA6-DF4E65B2036F}" type="pres">
      <dgm:prSet presAssocID="{9CD6ED92-FD75-4AF3-B6F9-EC8AA710D8F5}" presName="rootText" presStyleLbl="node2" presStyleIdx="0" presStyleCnt="6">
        <dgm:presLayoutVars>
          <dgm:chPref val="3"/>
        </dgm:presLayoutVars>
      </dgm:prSet>
      <dgm:spPr/>
    </dgm:pt>
    <dgm:pt modelId="{3920294F-C694-4925-932E-FF607247D5D3}" type="pres">
      <dgm:prSet presAssocID="{9CD6ED92-FD75-4AF3-B6F9-EC8AA710D8F5}" presName="rootConnector" presStyleLbl="node2" presStyleIdx="0" presStyleCnt="6"/>
      <dgm:spPr/>
    </dgm:pt>
    <dgm:pt modelId="{398D9EBF-B8A2-478D-B3E7-9443AD4BD611}" type="pres">
      <dgm:prSet presAssocID="{9CD6ED92-FD75-4AF3-B6F9-EC8AA710D8F5}" presName="hierChild4" presStyleCnt="0"/>
      <dgm:spPr/>
    </dgm:pt>
    <dgm:pt modelId="{3EDFBCFD-3F88-4634-9620-B99227736F66}" type="pres">
      <dgm:prSet presAssocID="{82BE8713-E9A9-42B2-8110-D5E2167FF1B5}" presName="Name37" presStyleLbl="parChTrans1D3" presStyleIdx="0" presStyleCnt="26"/>
      <dgm:spPr/>
    </dgm:pt>
    <dgm:pt modelId="{01AAF0DC-7CFE-4AFF-9940-CCF581B28F63}" type="pres">
      <dgm:prSet presAssocID="{5770E59D-63CD-4FDC-9871-F1F07ED00EB5}" presName="hierRoot2" presStyleCnt="0">
        <dgm:presLayoutVars>
          <dgm:hierBranch val="init"/>
        </dgm:presLayoutVars>
      </dgm:prSet>
      <dgm:spPr/>
    </dgm:pt>
    <dgm:pt modelId="{01FA8179-70FA-4CE0-90C4-EC6BEBE132BA}" type="pres">
      <dgm:prSet presAssocID="{5770E59D-63CD-4FDC-9871-F1F07ED00EB5}" presName="rootComposite" presStyleCnt="0"/>
      <dgm:spPr/>
    </dgm:pt>
    <dgm:pt modelId="{DA2FC0F8-87AB-462F-AEC0-593FFEDB6773}" type="pres">
      <dgm:prSet presAssocID="{5770E59D-63CD-4FDC-9871-F1F07ED00EB5}" presName="rootText" presStyleLbl="node3" presStyleIdx="0" presStyleCnt="26">
        <dgm:presLayoutVars>
          <dgm:chPref val="3"/>
        </dgm:presLayoutVars>
      </dgm:prSet>
      <dgm:spPr/>
    </dgm:pt>
    <dgm:pt modelId="{533F155D-1E7E-40A0-8384-23C25015D998}" type="pres">
      <dgm:prSet presAssocID="{5770E59D-63CD-4FDC-9871-F1F07ED00EB5}" presName="rootConnector" presStyleLbl="node3" presStyleIdx="0" presStyleCnt="26"/>
      <dgm:spPr/>
    </dgm:pt>
    <dgm:pt modelId="{957777F1-C5F5-4926-AA0A-74406F55F748}" type="pres">
      <dgm:prSet presAssocID="{5770E59D-63CD-4FDC-9871-F1F07ED00EB5}" presName="hierChild4" presStyleCnt="0"/>
      <dgm:spPr/>
    </dgm:pt>
    <dgm:pt modelId="{3F73FC02-A17D-4F89-93E0-92A0A7EF0CD7}" type="pres">
      <dgm:prSet presAssocID="{5770E59D-63CD-4FDC-9871-F1F07ED00EB5}" presName="hierChild5" presStyleCnt="0"/>
      <dgm:spPr/>
    </dgm:pt>
    <dgm:pt modelId="{4568AE57-8C55-46E6-BAAB-31671799D38C}" type="pres">
      <dgm:prSet presAssocID="{5C1AA477-74BD-4347-9414-68F4AB95180D}" presName="Name37" presStyleLbl="parChTrans1D3" presStyleIdx="1" presStyleCnt="26"/>
      <dgm:spPr/>
    </dgm:pt>
    <dgm:pt modelId="{BD3A0BE9-D996-42C7-8943-2D486A09BBEF}" type="pres">
      <dgm:prSet presAssocID="{9BEC76F9-F52E-4433-8107-7A702E0B593A}" presName="hierRoot2" presStyleCnt="0">
        <dgm:presLayoutVars>
          <dgm:hierBranch val="init"/>
        </dgm:presLayoutVars>
      </dgm:prSet>
      <dgm:spPr/>
    </dgm:pt>
    <dgm:pt modelId="{19ECAAD3-3892-4E7B-81CE-2F852173AFFD}" type="pres">
      <dgm:prSet presAssocID="{9BEC76F9-F52E-4433-8107-7A702E0B593A}" presName="rootComposite" presStyleCnt="0"/>
      <dgm:spPr/>
    </dgm:pt>
    <dgm:pt modelId="{EAEA55D8-D361-48AC-87C5-E96ACA46A398}" type="pres">
      <dgm:prSet presAssocID="{9BEC76F9-F52E-4433-8107-7A702E0B593A}" presName="rootText" presStyleLbl="node3" presStyleIdx="1" presStyleCnt="26">
        <dgm:presLayoutVars>
          <dgm:chPref val="3"/>
        </dgm:presLayoutVars>
      </dgm:prSet>
      <dgm:spPr/>
    </dgm:pt>
    <dgm:pt modelId="{ED3F9AA5-C898-4FB1-94A9-E2820738A83C}" type="pres">
      <dgm:prSet presAssocID="{9BEC76F9-F52E-4433-8107-7A702E0B593A}" presName="rootConnector" presStyleLbl="node3" presStyleIdx="1" presStyleCnt="26"/>
      <dgm:spPr/>
    </dgm:pt>
    <dgm:pt modelId="{E3C53AAB-1000-4CC0-ADC4-7E71B4DF6310}" type="pres">
      <dgm:prSet presAssocID="{9BEC76F9-F52E-4433-8107-7A702E0B593A}" presName="hierChild4" presStyleCnt="0"/>
      <dgm:spPr/>
    </dgm:pt>
    <dgm:pt modelId="{EDD648B8-D10E-4F5B-8C18-D4DE986DD6C2}" type="pres">
      <dgm:prSet presAssocID="{9BEC76F9-F52E-4433-8107-7A702E0B593A}" presName="hierChild5" presStyleCnt="0"/>
      <dgm:spPr/>
    </dgm:pt>
    <dgm:pt modelId="{F152739B-2F25-49E7-8760-EC85E8F374F6}" type="pres">
      <dgm:prSet presAssocID="{F02A8144-2DA0-4A81-9B76-2C16651C8C64}" presName="Name37" presStyleLbl="parChTrans1D3" presStyleIdx="2" presStyleCnt="26"/>
      <dgm:spPr/>
    </dgm:pt>
    <dgm:pt modelId="{A855117E-5AED-4C27-837B-9BF63F7451FD}" type="pres">
      <dgm:prSet presAssocID="{FA6D3483-692D-4408-931B-4FE6165263E4}" presName="hierRoot2" presStyleCnt="0">
        <dgm:presLayoutVars>
          <dgm:hierBranch val="init"/>
        </dgm:presLayoutVars>
      </dgm:prSet>
      <dgm:spPr/>
    </dgm:pt>
    <dgm:pt modelId="{020EBA4C-5426-4523-AB82-1A5D4FEE60EB}" type="pres">
      <dgm:prSet presAssocID="{FA6D3483-692D-4408-931B-4FE6165263E4}" presName="rootComposite" presStyleCnt="0"/>
      <dgm:spPr/>
    </dgm:pt>
    <dgm:pt modelId="{833323BE-6E62-4DCA-91D9-640740CB24B3}" type="pres">
      <dgm:prSet presAssocID="{FA6D3483-692D-4408-931B-4FE6165263E4}" presName="rootText" presStyleLbl="node3" presStyleIdx="2" presStyleCnt="26">
        <dgm:presLayoutVars>
          <dgm:chPref val="3"/>
        </dgm:presLayoutVars>
      </dgm:prSet>
      <dgm:spPr/>
    </dgm:pt>
    <dgm:pt modelId="{0DDBBDC4-05C0-4D88-BACD-ABDCC091B72B}" type="pres">
      <dgm:prSet presAssocID="{FA6D3483-692D-4408-931B-4FE6165263E4}" presName="rootConnector" presStyleLbl="node3" presStyleIdx="2" presStyleCnt="26"/>
      <dgm:spPr/>
    </dgm:pt>
    <dgm:pt modelId="{3401EF02-B499-45C4-9026-32C9A161AE09}" type="pres">
      <dgm:prSet presAssocID="{FA6D3483-692D-4408-931B-4FE6165263E4}" presName="hierChild4" presStyleCnt="0"/>
      <dgm:spPr/>
    </dgm:pt>
    <dgm:pt modelId="{FF1769FA-581F-465E-8AA6-74B679B57ECD}" type="pres">
      <dgm:prSet presAssocID="{FA6D3483-692D-4408-931B-4FE6165263E4}" presName="hierChild5" presStyleCnt="0"/>
      <dgm:spPr/>
    </dgm:pt>
    <dgm:pt modelId="{C0032A54-61C1-4496-843D-D43B7D5F036E}" type="pres">
      <dgm:prSet presAssocID="{AB4E1661-77BD-47D6-AC22-1FD25251AF95}" presName="Name37" presStyleLbl="parChTrans1D3" presStyleIdx="3" presStyleCnt="26"/>
      <dgm:spPr/>
    </dgm:pt>
    <dgm:pt modelId="{CCF7C17D-EEBF-4020-A24B-5A5AA6A7957B}" type="pres">
      <dgm:prSet presAssocID="{9AF6C671-EDF3-400A-BCFF-C1A9276F90FC}" presName="hierRoot2" presStyleCnt="0">
        <dgm:presLayoutVars>
          <dgm:hierBranch val="init"/>
        </dgm:presLayoutVars>
      </dgm:prSet>
      <dgm:spPr/>
    </dgm:pt>
    <dgm:pt modelId="{5223C8B8-7B38-4642-B636-C3F87372C4F6}" type="pres">
      <dgm:prSet presAssocID="{9AF6C671-EDF3-400A-BCFF-C1A9276F90FC}" presName="rootComposite" presStyleCnt="0"/>
      <dgm:spPr/>
    </dgm:pt>
    <dgm:pt modelId="{9C905CA5-10D8-4F04-A0F1-0F9D9008B6C9}" type="pres">
      <dgm:prSet presAssocID="{9AF6C671-EDF3-400A-BCFF-C1A9276F90FC}" presName="rootText" presStyleLbl="node3" presStyleIdx="3" presStyleCnt="26">
        <dgm:presLayoutVars>
          <dgm:chPref val="3"/>
        </dgm:presLayoutVars>
      </dgm:prSet>
      <dgm:spPr/>
    </dgm:pt>
    <dgm:pt modelId="{5938784A-6786-45AA-A223-D0C44F4213E8}" type="pres">
      <dgm:prSet presAssocID="{9AF6C671-EDF3-400A-BCFF-C1A9276F90FC}" presName="rootConnector" presStyleLbl="node3" presStyleIdx="3" presStyleCnt="26"/>
      <dgm:spPr/>
    </dgm:pt>
    <dgm:pt modelId="{41F9E632-6BF6-42AB-A8D5-13D5574295EE}" type="pres">
      <dgm:prSet presAssocID="{9AF6C671-EDF3-400A-BCFF-C1A9276F90FC}" presName="hierChild4" presStyleCnt="0"/>
      <dgm:spPr/>
    </dgm:pt>
    <dgm:pt modelId="{798DE81F-AC6D-406D-8279-05A6A77F918C}" type="pres">
      <dgm:prSet presAssocID="{9AF6C671-EDF3-400A-BCFF-C1A9276F90FC}" presName="hierChild5" presStyleCnt="0"/>
      <dgm:spPr/>
    </dgm:pt>
    <dgm:pt modelId="{9B21E57D-1C39-4595-B2AE-A7D574E00514}" type="pres">
      <dgm:prSet presAssocID="{572F1BAF-4672-4CE9-B700-F0CD1DC3CD89}" presName="Name37" presStyleLbl="parChTrans1D3" presStyleIdx="4" presStyleCnt="26"/>
      <dgm:spPr/>
    </dgm:pt>
    <dgm:pt modelId="{1B8249B1-7EA7-4497-BBCF-999B94036951}" type="pres">
      <dgm:prSet presAssocID="{D1CA8D4B-1C74-4411-BB89-9AD8AE3602C5}" presName="hierRoot2" presStyleCnt="0">
        <dgm:presLayoutVars>
          <dgm:hierBranch val="init"/>
        </dgm:presLayoutVars>
      </dgm:prSet>
      <dgm:spPr/>
    </dgm:pt>
    <dgm:pt modelId="{11C4D4D1-9489-45FF-89CE-370EB8C166CA}" type="pres">
      <dgm:prSet presAssocID="{D1CA8D4B-1C74-4411-BB89-9AD8AE3602C5}" presName="rootComposite" presStyleCnt="0"/>
      <dgm:spPr/>
    </dgm:pt>
    <dgm:pt modelId="{F339375A-571B-46E0-9BCF-10B20599A32A}" type="pres">
      <dgm:prSet presAssocID="{D1CA8D4B-1C74-4411-BB89-9AD8AE3602C5}" presName="rootText" presStyleLbl="node3" presStyleIdx="4" presStyleCnt="26">
        <dgm:presLayoutVars>
          <dgm:chPref val="3"/>
        </dgm:presLayoutVars>
      </dgm:prSet>
      <dgm:spPr/>
    </dgm:pt>
    <dgm:pt modelId="{2CA68FB9-541B-4940-BADC-D923B5386B7F}" type="pres">
      <dgm:prSet presAssocID="{D1CA8D4B-1C74-4411-BB89-9AD8AE3602C5}" presName="rootConnector" presStyleLbl="node3" presStyleIdx="4" presStyleCnt="26"/>
      <dgm:spPr/>
    </dgm:pt>
    <dgm:pt modelId="{8D16AB6C-69F2-4DE8-A865-E07153CE53F4}" type="pres">
      <dgm:prSet presAssocID="{D1CA8D4B-1C74-4411-BB89-9AD8AE3602C5}" presName="hierChild4" presStyleCnt="0"/>
      <dgm:spPr/>
    </dgm:pt>
    <dgm:pt modelId="{4FDF8EFA-155C-413F-B8AA-4B590E17E476}" type="pres">
      <dgm:prSet presAssocID="{D1CA8D4B-1C74-4411-BB89-9AD8AE3602C5}" presName="hierChild5" presStyleCnt="0"/>
      <dgm:spPr/>
    </dgm:pt>
    <dgm:pt modelId="{BF6BF692-4E74-46EF-8EB7-572B179CE4DE}" type="pres">
      <dgm:prSet presAssocID="{948734C0-BE17-477B-AD70-AA0792B87F16}" presName="Name37" presStyleLbl="parChTrans1D3" presStyleIdx="5" presStyleCnt="26"/>
      <dgm:spPr/>
    </dgm:pt>
    <dgm:pt modelId="{DF63CF0C-DFE0-4F90-828C-5BF0C1AF5755}" type="pres">
      <dgm:prSet presAssocID="{8D7FECC9-22A2-45F8-9D81-CDE2141E7488}" presName="hierRoot2" presStyleCnt="0">
        <dgm:presLayoutVars>
          <dgm:hierBranch val="init"/>
        </dgm:presLayoutVars>
      </dgm:prSet>
      <dgm:spPr/>
    </dgm:pt>
    <dgm:pt modelId="{0F6F0DA8-BA0F-4CE6-9F1C-A37B3A320CD4}" type="pres">
      <dgm:prSet presAssocID="{8D7FECC9-22A2-45F8-9D81-CDE2141E7488}" presName="rootComposite" presStyleCnt="0"/>
      <dgm:spPr/>
    </dgm:pt>
    <dgm:pt modelId="{63A59E8D-B040-4D3C-9ACE-FE13B88C13EF}" type="pres">
      <dgm:prSet presAssocID="{8D7FECC9-22A2-45F8-9D81-CDE2141E7488}" presName="rootText" presStyleLbl="node3" presStyleIdx="5" presStyleCnt="26">
        <dgm:presLayoutVars>
          <dgm:chPref val="3"/>
        </dgm:presLayoutVars>
      </dgm:prSet>
      <dgm:spPr/>
    </dgm:pt>
    <dgm:pt modelId="{4321FC22-81E3-418F-9FE0-38CBCD77AABF}" type="pres">
      <dgm:prSet presAssocID="{8D7FECC9-22A2-45F8-9D81-CDE2141E7488}" presName="rootConnector" presStyleLbl="node3" presStyleIdx="5" presStyleCnt="26"/>
      <dgm:spPr/>
    </dgm:pt>
    <dgm:pt modelId="{EECA7C07-DEA8-43AA-BE2F-6369258305D8}" type="pres">
      <dgm:prSet presAssocID="{8D7FECC9-22A2-45F8-9D81-CDE2141E7488}" presName="hierChild4" presStyleCnt="0"/>
      <dgm:spPr/>
    </dgm:pt>
    <dgm:pt modelId="{932728F9-1156-436D-A8B9-D2226FEB5C38}" type="pres">
      <dgm:prSet presAssocID="{8D7FECC9-22A2-45F8-9D81-CDE2141E7488}" presName="hierChild5" presStyleCnt="0"/>
      <dgm:spPr/>
    </dgm:pt>
    <dgm:pt modelId="{CFC9B2FD-5026-450C-BCFB-C37D283D1B90}" type="pres">
      <dgm:prSet presAssocID="{56E2CF09-1E5A-4E71-800D-EE91066DC5C8}" presName="Name37" presStyleLbl="parChTrans1D3" presStyleIdx="6" presStyleCnt="26"/>
      <dgm:spPr/>
    </dgm:pt>
    <dgm:pt modelId="{51104A68-5C32-48D6-B893-B4BDACC44735}" type="pres">
      <dgm:prSet presAssocID="{A00C769D-8A69-4886-9A4E-6155D5FEEF7C}" presName="hierRoot2" presStyleCnt="0">
        <dgm:presLayoutVars>
          <dgm:hierBranch val="init"/>
        </dgm:presLayoutVars>
      </dgm:prSet>
      <dgm:spPr/>
    </dgm:pt>
    <dgm:pt modelId="{136F1FCC-1CCA-480F-8BD9-0956EA07B63D}" type="pres">
      <dgm:prSet presAssocID="{A00C769D-8A69-4886-9A4E-6155D5FEEF7C}" presName="rootComposite" presStyleCnt="0"/>
      <dgm:spPr/>
    </dgm:pt>
    <dgm:pt modelId="{54956330-9F93-49DF-9F7D-CFA755B93E68}" type="pres">
      <dgm:prSet presAssocID="{A00C769D-8A69-4886-9A4E-6155D5FEEF7C}" presName="rootText" presStyleLbl="node3" presStyleIdx="6" presStyleCnt="26">
        <dgm:presLayoutVars>
          <dgm:chPref val="3"/>
        </dgm:presLayoutVars>
      </dgm:prSet>
      <dgm:spPr/>
    </dgm:pt>
    <dgm:pt modelId="{B299F4C3-577A-479D-9127-D8A0FB191895}" type="pres">
      <dgm:prSet presAssocID="{A00C769D-8A69-4886-9A4E-6155D5FEEF7C}" presName="rootConnector" presStyleLbl="node3" presStyleIdx="6" presStyleCnt="26"/>
      <dgm:spPr/>
    </dgm:pt>
    <dgm:pt modelId="{097B080F-AE78-4B5A-A49F-887141F9DCDA}" type="pres">
      <dgm:prSet presAssocID="{A00C769D-8A69-4886-9A4E-6155D5FEEF7C}" presName="hierChild4" presStyleCnt="0"/>
      <dgm:spPr/>
    </dgm:pt>
    <dgm:pt modelId="{51DF621B-ABBB-4623-BB88-F3FCAAFE345B}" type="pres">
      <dgm:prSet presAssocID="{A00C769D-8A69-4886-9A4E-6155D5FEEF7C}" presName="hierChild5" presStyleCnt="0"/>
      <dgm:spPr/>
    </dgm:pt>
    <dgm:pt modelId="{93AFC06A-D3DE-439F-92EE-CF5B87921D2D}" type="pres">
      <dgm:prSet presAssocID="{8A53DB7E-D430-4431-8701-E90986706C16}" presName="Name37" presStyleLbl="parChTrans1D3" presStyleIdx="7" presStyleCnt="26"/>
      <dgm:spPr/>
    </dgm:pt>
    <dgm:pt modelId="{CACCA90B-B173-47B9-B839-A7E170A3E334}" type="pres">
      <dgm:prSet presAssocID="{354399C6-253A-4805-9C8E-9D936CFB3D74}" presName="hierRoot2" presStyleCnt="0">
        <dgm:presLayoutVars>
          <dgm:hierBranch val="init"/>
        </dgm:presLayoutVars>
      </dgm:prSet>
      <dgm:spPr/>
    </dgm:pt>
    <dgm:pt modelId="{320F7EB0-FCB7-4ACB-97BD-091621F93D22}" type="pres">
      <dgm:prSet presAssocID="{354399C6-253A-4805-9C8E-9D936CFB3D74}" presName="rootComposite" presStyleCnt="0"/>
      <dgm:spPr/>
    </dgm:pt>
    <dgm:pt modelId="{AEF58A5D-431A-4872-B7AE-D7D704CDFA29}" type="pres">
      <dgm:prSet presAssocID="{354399C6-253A-4805-9C8E-9D936CFB3D74}" presName="rootText" presStyleLbl="node3" presStyleIdx="7" presStyleCnt="26">
        <dgm:presLayoutVars>
          <dgm:chPref val="3"/>
        </dgm:presLayoutVars>
      </dgm:prSet>
      <dgm:spPr/>
    </dgm:pt>
    <dgm:pt modelId="{EE293CC1-D73B-4FBB-8B10-3B41D516736F}" type="pres">
      <dgm:prSet presAssocID="{354399C6-253A-4805-9C8E-9D936CFB3D74}" presName="rootConnector" presStyleLbl="node3" presStyleIdx="7" presStyleCnt="26"/>
      <dgm:spPr/>
    </dgm:pt>
    <dgm:pt modelId="{0C457AAE-C140-49E8-A58B-0AEDB65DAF37}" type="pres">
      <dgm:prSet presAssocID="{354399C6-253A-4805-9C8E-9D936CFB3D74}" presName="hierChild4" presStyleCnt="0"/>
      <dgm:spPr/>
    </dgm:pt>
    <dgm:pt modelId="{9FCA6A6D-68EB-49DD-89BE-3D4F13E3DF23}" type="pres">
      <dgm:prSet presAssocID="{354399C6-253A-4805-9C8E-9D936CFB3D74}" presName="hierChild5" presStyleCnt="0"/>
      <dgm:spPr/>
    </dgm:pt>
    <dgm:pt modelId="{90C49928-3112-471B-93AB-DAC836EF1743}" type="pres">
      <dgm:prSet presAssocID="{9CD6ED92-FD75-4AF3-B6F9-EC8AA710D8F5}" presName="hierChild5" presStyleCnt="0"/>
      <dgm:spPr/>
    </dgm:pt>
    <dgm:pt modelId="{A0F6C460-5DE6-4C2A-A34F-A257D046A47D}" type="pres">
      <dgm:prSet presAssocID="{E5D7EFDB-AD19-45FF-AB0E-26FEDBC7F2A6}" presName="Name37" presStyleLbl="parChTrans1D2" presStyleIdx="1" presStyleCnt="6"/>
      <dgm:spPr/>
    </dgm:pt>
    <dgm:pt modelId="{8AF4E1BC-D478-49C4-8180-92E507ADB285}" type="pres">
      <dgm:prSet presAssocID="{3A1361DE-15D4-4D77-9511-0ECD6F436875}" presName="hierRoot2" presStyleCnt="0">
        <dgm:presLayoutVars>
          <dgm:hierBranch val="init"/>
        </dgm:presLayoutVars>
      </dgm:prSet>
      <dgm:spPr/>
    </dgm:pt>
    <dgm:pt modelId="{22709EAB-F800-442E-88E6-DCEDE250366B}" type="pres">
      <dgm:prSet presAssocID="{3A1361DE-15D4-4D77-9511-0ECD6F436875}" presName="rootComposite" presStyleCnt="0"/>
      <dgm:spPr/>
    </dgm:pt>
    <dgm:pt modelId="{C331CBE8-AB2D-4500-864D-5E36898C1BCE}" type="pres">
      <dgm:prSet presAssocID="{3A1361DE-15D4-4D77-9511-0ECD6F436875}" presName="rootText" presStyleLbl="node2" presStyleIdx="1" presStyleCnt="6">
        <dgm:presLayoutVars>
          <dgm:chPref val="3"/>
        </dgm:presLayoutVars>
      </dgm:prSet>
      <dgm:spPr/>
    </dgm:pt>
    <dgm:pt modelId="{655388C0-F769-4DB8-B9AB-E0495609623D}" type="pres">
      <dgm:prSet presAssocID="{3A1361DE-15D4-4D77-9511-0ECD6F436875}" presName="rootConnector" presStyleLbl="node2" presStyleIdx="1" presStyleCnt="6"/>
      <dgm:spPr/>
    </dgm:pt>
    <dgm:pt modelId="{CAE075FC-A82F-431A-9AFF-2CD0F5DE678A}" type="pres">
      <dgm:prSet presAssocID="{3A1361DE-15D4-4D77-9511-0ECD6F436875}" presName="hierChild4" presStyleCnt="0"/>
      <dgm:spPr/>
    </dgm:pt>
    <dgm:pt modelId="{13D31387-0CC3-42D9-9B6B-3ECFAE397FCA}" type="pres">
      <dgm:prSet presAssocID="{9AC35492-884C-4A86-B7EC-CF6D785C00AB}" presName="Name37" presStyleLbl="parChTrans1D3" presStyleIdx="8" presStyleCnt="26"/>
      <dgm:spPr/>
    </dgm:pt>
    <dgm:pt modelId="{33FB0868-CAFD-4EEE-A4DF-1A0AE2BABAD9}" type="pres">
      <dgm:prSet presAssocID="{7355FDD0-FCD6-48D6-9915-AA4DE669A3F5}" presName="hierRoot2" presStyleCnt="0">
        <dgm:presLayoutVars>
          <dgm:hierBranch val="init"/>
        </dgm:presLayoutVars>
      </dgm:prSet>
      <dgm:spPr/>
    </dgm:pt>
    <dgm:pt modelId="{A02810A0-88DA-4B2E-990C-E904FB2F988D}" type="pres">
      <dgm:prSet presAssocID="{7355FDD0-FCD6-48D6-9915-AA4DE669A3F5}" presName="rootComposite" presStyleCnt="0"/>
      <dgm:spPr/>
    </dgm:pt>
    <dgm:pt modelId="{078BA1D6-D0AC-403A-9BB6-90D719304C95}" type="pres">
      <dgm:prSet presAssocID="{7355FDD0-FCD6-48D6-9915-AA4DE669A3F5}" presName="rootText" presStyleLbl="node3" presStyleIdx="8" presStyleCnt="26">
        <dgm:presLayoutVars>
          <dgm:chPref val="3"/>
        </dgm:presLayoutVars>
      </dgm:prSet>
      <dgm:spPr/>
    </dgm:pt>
    <dgm:pt modelId="{C9AEDBEC-F2CE-4719-928E-4DC41659B0FF}" type="pres">
      <dgm:prSet presAssocID="{7355FDD0-FCD6-48D6-9915-AA4DE669A3F5}" presName="rootConnector" presStyleLbl="node3" presStyleIdx="8" presStyleCnt="26"/>
      <dgm:spPr/>
    </dgm:pt>
    <dgm:pt modelId="{B2670908-B096-455D-959E-762B5F4A7CC7}" type="pres">
      <dgm:prSet presAssocID="{7355FDD0-FCD6-48D6-9915-AA4DE669A3F5}" presName="hierChild4" presStyleCnt="0"/>
      <dgm:spPr/>
    </dgm:pt>
    <dgm:pt modelId="{4034AA73-5630-497C-BD9A-108EEC7369BE}" type="pres">
      <dgm:prSet presAssocID="{7355FDD0-FCD6-48D6-9915-AA4DE669A3F5}" presName="hierChild5" presStyleCnt="0"/>
      <dgm:spPr/>
    </dgm:pt>
    <dgm:pt modelId="{79D00E18-23D5-4B48-B077-EE469E00D6F1}" type="pres">
      <dgm:prSet presAssocID="{52388ED5-A43D-40D4-BF3B-9DEEC4F04EEB}" presName="Name37" presStyleLbl="parChTrans1D3" presStyleIdx="9" presStyleCnt="26"/>
      <dgm:spPr/>
    </dgm:pt>
    <dgm:pt modelId="{0D4908EE-E473-4D53-8AE4-53FC8A29F3AC}" type="pres">
      <dgm:prSet presAssocID="{33090DF0-EAB5-4260-936E-418FD0B1265D}" presName="hierRoot2" presStyleCnt="0">
        <dgm:presLayoutVars>
          <dgm:hierBranch val="init"/>
        </dgm:presLayoutVars>
      </dgm:prSet>
      <dgm:spPr/>
    </dgm:pt>
    <dgm:pt modelId="{AD75F40C-50DC-4EEC-9CC7-25129BFDBB36}" type="pres">
      <dgm:prSet presAssocID="{33090DF0-EAB5-4260-936E-418FD0B1265D}" presName="rootComposite" presStyleCnt="0"/>
      <dgm:spPr/>
    </dgm:pt>
    <dgm:pt modelId="{A5D57E41-9FF4-4123-8DA8-D9CAE456B158}" type="pres">
      <dgm:prSet presAssocID="{33090DF0-EAB5-4260-936E-418FD0B1265D}" presName="rootText" presStyleLbl="node3" presStyleIdx="9" presStyleCnt="26">
        <dgm:presLayoutVars>
          <dgm:chPref val="3"/>
        </dgm:presLayoutVars>
      </dgm:prSet>
      <dgm:spPr/>
    </dgm:pt>
    <dgm:pt modelId="{B2C53C1D-1A3C-4036-8510-5A1985CF5676}" type="pres">
      <dgm:prSet presAssocID="{33090DF0-EAB5-4260-936E-418FD0B1265D}" presName="rootConnector" presStyleLbl="node3" presStyleIdx="9" presStyleCnt="26"/>
      <dgm:spPr/>
    </dgm:pt>
    <dgm:pt modelId="{A29B54D2-8D22-4ABB-AF10-AE3C2C6AE09F}" type="pres">
      <dgm:prSet presAssocID="{33090DF0-EAB5-4260-936E-418FD0B1265D}" presName="hierChild4" presStyleCnt="0"/>
      <dgm:spPr/>
    </dgm:pt>
    <dgm:pt modelId="{B06CBD82-3C24-4282-B670-A0965AF9C419}" type="pres">
      <dgm:prSet presAssocID="{33090DF0-EAB5-4260-936E-418FD0B1265D}" presName="hierChild5" presStyleCnt="0"/>
      <dgm:spPr/>
    </dgm:pt>
    <dgm:pt modelId="{89E54461-BE29-4045-A53D-6B8C0EFF2644}" type="pres">
      <dgm:prSet presAssocID="{32A36891-4B54-4488-AA29-D185AA456779}" presName="Name37" presStyleLbl="parChTrans1D3" presStyleIdx="10" presStyleCnt="26"/>
      <dgm:spPr/>
    </dgm:pt>
    <dgm:pt modelId="{5FD32FA0-DCDF-43D8-ABA7-02DF8A337890}" type="pres">
      <dgm:prSet presAssocID="{81CD926B-86DD-4AE8-891F-1EA761D9CB16}" presName="hierRoot2" presStyleCnt="0">
        <dgm:presLayoutVars>
          <dgm:hierBranch val="init"/>
        </dgm:presLayoutVars>
      </dgm:prSet>
      <dgm:spPr/>
    </dgm:pt>
    <dgm:pt modelId="{F569E44A-715F-4633-B294-BB1A6CB4E999}" type="pres">
      <dgm:prSet presAssocID="{81CD926B-86DD-4AE8-891F-1EA761D9CB16}" presName="rootComposite" presStyleCnt="0"/>
      <dgm:spPr/>
    </dgm:pt>
    <dgm:pt modelId="{37C78485-9DF9-4E2F-9A79-20D0A59183F1}" type="pres">
      <dgm:prSet presAssocID="{81CD926B-86DD-4AE8-891F-1EA761D9CB16}" presName="rootText" presStyleLbl="node3" presStyleIdx="10" presStyleCnt="26">
        <dgm:presLayoutVars>
          <dgm:chPref val="3"/>
        </dgm:presLayoutVars>
      </dgm:prSet>
      <dgm:spPr/>
    </dgm:pt>
    <dgm:pt modelId="{35EB1EFE-D20C-43F4-96CB-591729F28A08}" type="pres">
      <dgm:prSet presAssocID="{81CD926B-86DD-4AE8-891F-1EA761D9CB16}" presName="rootConnector" presStyleLbl="node3" presStyleIdx="10" presStyleCnt="26"/>
      <dgm:spPr/>
    </dgm:pt>
    <dgm:pt modelId="{A16B2CBF-5623-4D3B-8627-DD890B94991C}" type="pres">
      <dgm:prSet presAssocID="{81CD926B-86DD-4AE8-891F-1EA761D9CB16}" presName="hierChild4" presStyleCnt="0"/>
      <dgm:spPr/>
    </dgm:pt>
    <dgm:pt modelId="{67D11A9C-3A68-44F3-852B-0732D8FCE6B5}" type="pres">
      <dgm:prSet presAssocID="{81CD926B-86DD-4AE8-891F-1EA761D9CB16}" presName="hierChild5" presStyleCnt="0"/>
      <dgm:spPr/>
    </dgm:pt>
    <dgm:pt modelId="{B3DA17D9-432E-4980-9EEC-00BEDBCF2950}" type="pres">
      <dgm:prSet presAssocID="{40B1E693-1CEE-4C6D-BBF1-609E70F91410}" presName="Name37" presStyleLbl="parChTrans1D3" presStyleIdx="11" presStyleCnt="26"/>
      <dgm:spPr/>
    </dgm:pt>
    <dgm:pt modelId="{0990BD15-8AF6-4C10-B2E8-F16B97D4C3E3}" type="pres">
      <dgm:prSet presAssocID="{5C754CE0-A0A5-47AC-9EF6-FEE0E4DBB350}" presName="hierRoot2" presStyleCnt="0">
        <dgm:presLayoutVars>
          <dgm:hierBranch val="init"/>
        </dgm:presLayoutVars>
      </dgm:prSet>
      <dgm:spPr/>
    </dgm:pt>
    <dgm:pt modelId="{09A2FF2E-B509-4E92-AAD7-8F150EA2D800}" type="pres">
      <dgm:prSet presAssocID="{5C754CE0-A0A5-47AC-9EF6-FEE0E4DBB350}" presName="rootComposite" presStyleCnt="0"/>
      <dgm:spPr/>
    </dgm:pt>
    <dgm:pt modelId="{E42B7B73-E967-4B79-BC3D-3F50F191349D}" type="pres">
      <dgm:prSet presAssocID="{5C754CE0-A0A5-47AC-9EF6-FEE0E4DBB350}" presName="rootText" presStyleLbl="node3" presStyleIdx="11" presStyleCnt="26">
        <dgm:presLayoutVars>
          <dgm:chPref val="3"/>
        </dgm:presLayoutVars>
      </dgm:prSet>
      <dgm:spPr/>
    </dgm:pt>
    <dgm:pt modelId="{3EA4EF2D-FF4A-4E65-8B7F-6330FA28A81D}" type="pres">
      <dgm:prSet presAssocID="{5C754CE0-A0A5-47AC-9EF6-FEE0E4DBB350}" presName="rootConnector" presStyleLbl="node3" presStyleIdx="11" presStyleCnt="26"/>
      <dgm:spPr/>
    </dgm:pt>
    <dgm:pt modelId="{A6E63034-6555-46BE-8CF9-B261669072B7}" type="pres">
      <dgm:prSet presAssocID="{5C754CE0-A0A5-47AC-9EF6-FEE0E4DBB350}" presName="hierChild4" presStyleCnt="0"/>
      <dgm:spPr/>
    </dgm:pt>
    <dgm:pt modelId="{C5163993-4A08-43DD-B5A7-FEB2D28506AB}" type="pres">
      <dgm:prSet presAssocID="{5C754CE0-A0A5-47AC-9EF6-FEE0E4DBB350}" presName="hierChild5" presStyleCnt="0"/>
      <dgm:spPr/>
    </dgm:pt>
    <dgm:pt modelId="{074EDB20-0C87-4E8D-A6B3-3E517BACEDF9}" type="pres">
      <dgm:prSet presAssocID="{E73D39C2-9274-4477-8843-EE46CF9A0726}" presName="Name37" presStyleLbl="parChTrans1D3" presStyleIdx="12" presStyleCnt="26"/>
      <dgm:spPr/>
    </dgm:pt>
    <dgm:pt modelId="{3845BD93-BA5A-452B-8B84-CCC24CDB9D48}" type="pres">
      <dgm:prSet presAssocID="{A0587F12-EAD7-4D62-89E3-54A6153D93CD}" presName="hierRoot2" presStyleCnt="0">
        <dgm:presLayoutVars>
          <dgm:hierBranch val="init"/>
        </dgm:presLayoutVars>
      </dgm:prSet>
      <dgm:spPr/>
    </dgm:pt>
    <dgm:pt modelId="{4C7E3AB7-F9A0-4834-9588-646BB13025DA}" type="pres">
      <dgm:prSet presAssocID="{A0587F12-EAD7-4D62-89E3-54A6153D93CD}" presName="rootComposite" presStyleCnt="0"/>
      <dgm:spPr/>
    </dgm:pt>
    <dgm:pt modelId="{146EBF6B-B2EE-432D-8C92-932C9C0E76B3}" type="pres">
      <dgm:prSet presAssocID="{A0587F12-EAD7-4D62-89E3-54A6153D93CD}" presName="rootText" presStyleLbl="node3" presStyleIdx="12" presStyleCnt="26">
        <dgm:presLayoutVars>
          <dgm:chPref val="3"/>
        </dgm:presLayoutVars>
      </dgm:prSet>
      <dgm:spPr/>
    </dgm:pt>
    <dgm:pt modelId="{03CC8052-EC0C-48BA-AE64-CA7D000C49C8}" type="pres">
      <dgm:prSet presAssocID="{A0587F12-EAD7-4D62-89E3-54A6153D93CD}" presName="rootConnector" presStyleLbl="node3" presStyleIdx="12" presStyleCnt="26"/>
      <dgm:spPr/>
    </dgm:pt>
    <dgm:pt modelId="{96CFD9D3-866F-4C6A-9375-88F8C82D57ED}" type="pres">
      <dgm:prSet presAssocID="{A0587F12-EAD7-4D62-89E3-54A6153D93CD}" presName="hierChild4" presStyleCnt="0"/>
      <dgm:spPr/>
    </dgm:pt>
    <dgm:pt modelId="{18DCEBBE-9C29-465E-BDA3-4587D8831518}" type="pres">
      <dgm:prSet presAssocID="{A0587F12-EAD7-4D62-89E3-54A6153D93CD}" presName="hierChild5" presStyleCnt="0"/>
      <dgm:spPr/>
    </dgm:pt>
    <dgm:pt modelId="{E049B4B0-6399-4292-BD38-D413FFCB6395}" type="pres">
      <dgm:prSet presAssocID="{1E1C593C-1DE9-4E69-AA20-3D941F225B12}" presName="Name37" presStyleLbl="parChTrans1D3" presStyleIdx="13" presStyleCnt="26"/>
      <dgm:spPr/>
    </dgm:pt>
    <dgm:pt modelId="{CFCF2806-DC55-423E-BE36-9E96112C4675}" type="pres">
      <dgm:prSet presAssocID="{13F179E9-8A01-4798-B555-6385EAF36449}" presName="hierRoot2" presStyleCnt="0">
        <dgm:presLayoutVars>
          <dgm:hierBranch val="init"/>
        </dgm:presLayoutVars>
      </dgm:prSet>
      <dgm:spPr/>
    </dgm:pt>
    <dgm:pt modelId="{40339B8C-FD26-447C-92F2-E2C9A0838BE3}" type="pres">
      <dgm:prSet presAssocID="{13F179E9-8A01-4798-B555-6385EAF36449}" presName="rootComposite" presStyleCnt="0"/>
      <dgm:spPr/>
    </dgm:pt>
    <dgm:pt modelId="{C4AE23C5-C7B4-4BC7-B9C2-507CF3103D3A}" type="pres">
      <dgm:prSet presAssocID="{13F179E9-8A01-4798-B555-6385EAF36449}" presName="rootText" presStyleLbl="node3" presStyleIdx="13" presStyleCnt="26">
        <dgm:presLayoutVars>
          <dgm:chPref val="3"/>
        </dgm:presLayoutVars>
      </dgm:prSet>
      <dgm:spPr/>
    </dgm:pt>
    <dgm:pt modelId="{161F08A5-624A-4B89-AFB6-25A0843D7028}" type="pres">
      <dgm:prSet presAssocID="{13F179E9-8A01-4798-B555-6385EAF36449}" presName="rootConnector" presStyleLbl="node3" presStyleIdx="13" presStyleCnt="26"/>
      <dgm:spPr/>
    </dgm:pt>
    <dgm:pt modelId="{44F99599-652D-4CFE-A04C-C924AF2E8734}" type="pres">
      <dgm:prSet presAssocID="{13F179E9-8A01-4798-B555-6385EAF36449}" presName="hierChild4" presStyleCnt="0"/>
      <dgm:spPr/>
    </dgm:pt>
    <dgm:pt modelId="{EFCD7D58-31E0-4693-B182-CE9892246682}" type="pres">
      <dgm:prSet presAssocID="{13F179E9-8A01-4798-B555-6385EAF36449}" presName="hierChild5" presStyleCnt="0"/>
      <dgm:spPr/>
    </dgm:pt>
    <dgm:pt modelId="{119B7AF3-5105-4EAE-908E-8B3594DF0FDE}" type="pres">
      <dgm:prSet presAssocID="{D711248B-65A9-434F-9552-A238DE8808A8}" presName="Name37" presStyleLbl="parChTrans1D3" presStyleIdx="14" presStyleCnt="26"/>
      <dgm:spPr/>
    </dgm:pt>
    <dgm:pt modelId="{BF17AA02-E171-4C7E-923F-B6788C27A0A6}" type="pres">
      <dgm:prSet presAssocID="{40BC9715-D5ED-4439-8AFD-1EFB3053FD67}" presName="hierRoot2" presStyleCnt="0">
        <dgm:presLayoutVars>
          <dgm:hierBranch val="init"/>
        </dgm:presLayoutVars>
      </dgm:prSet>
      <dgm:spPr/>
    </dgm:pt>
    <dgm:pt modelId="{EE40CA3C-55E2-4A6B-A836-926AD96EB1E2}" type="pres">
      <dgm:prSet presAssocID="{40BC9715-D5ED-4439-8AFD-1EFB3053FD67}" presName="rootComposite" presStyleCnt="0"/>
      <dgm:spPr/>
    </dgm:pt>
    <dgm:pt modelId="{AC2D6CC2-D55A-4D83-A157-2808454054F1}" type="pres">
      <dgm:prSet presAssocID="{40BC9715-D5ED-4439-8AFD-1EFB3053FD67}" presName="rootText" presStyleLbl="node3" presStyleIdx="14" presStyleCnt="26">
        <dgm:presLayoutVars>
          <dgm:chPref val="3"/>
        </dgm:presLayoutVars>
      </dgm:prSet>
      <dgm:spPr/>
    </dgm:pt>
    <dgm:pt modelId="{D58CC4D8-A40C-4D9D-963C-64136D768CFD}" type="pres">
      <dgm:prSet presAssocID="{40BC9715-D5ED-4439-8AFD-1EFB3053FD67}" presName="rootConnector" presStyleLbl="node3" presStyleIdx="14" presStyleCnt="26"/>
      <dgm:spPr/>
    </dgm:pt>
    <dgm:pt modelId="{28C264A3-4E39-497F-8269-77B5295AAF82}" type="pres">
      <dgm:prSet presAssocID="{40BC9715-D5ED-4439-8AFD-1EFB3053FD67}" presName="hierChild4" presStyleCnt="0"/>
      <dgm:spPr/>
    </dgm:pt>
    <dgm:pt modelId="{D7D5E1C7-FE2A-4EFF-A409-7DEFB32F8F93}" type="pres">
      <dgm:prSet presAssocID="{40BC9715-D5ED-4439-8AFD-1EFB3053FD67}" presName="hierChild5" presStyleCnt="0"/>
      <dgm:spPr/>
    </dgm:pt>
    <dgm:pt modelId="{8E7E29F4-1086-4926-B205-07DCA084D8D2}" type="pres">
      <dgm:prSet presAssocID="{5626FA9D-7819-4BB5-821D-050A1D8CBB6F}" presName="Name37" presStyleLbl="parChTrans1D3" presStyleIdx="15" presStyleCnt="26"/>
      <dgm:spPr/>
    </dgm:pt>
    <dgm:pt modelId="{610530C3-09E1-4CC6-BABD-7EC020CB1A79}" type="pres">
      <dgm:prSet presAssocID="{9BB58A88-20AE-4A95-A6F1-A968783D2AB3}" presName="hierRoot2" presStyleCnt="0">
        <dgm:presLayoutVars>
          <dgm:hierBranch val="init"/>
        </dgm:presLayoutVars>
      </dgm:prSet>
      <dgm:spPr/>
    </dgm:pt>
    <dgm:pt modelId="{0AA9F661-9C25-4318-AE4C-61EA301BE69A}" type="pres">
      <dgm:prSet presAssocID="{9BB58A88-20AE-4A95-A6F1-A968783D2AB3}" presName="rootComposite" presStyleCnt="0"/>
      <dgm:spPr/>
    </dgm:pt>
    <dgm:pt modelId="{1C3D8AE5-0313-41D1-8F4B-23FB984360EE}" type="pres">
      <dgm:prSet presAssocID="{9BB58A88-20AE-4A95-A6F1-A968783D2AB3}" presName="rootText" presStyleLbl="node3" presStyleIdx="15" presStyleCnt="26">
        <dgm:presLayoutVars>
          <dgm:chPref val="3"/>
        </dgm:presLayoutVars>
      </dgm:prSet>
      <dgm:spPr/>
    </dgm:pt>
    <dgm:pt modelId="{99CA0BE2-A7ED-4809-ABD0-DDFEB06D38AE}" type="pres">
      <dgm:prSet presAssocID="{9BB58A88-20AE-4A95-A6F1-A968783D2AB3}" presName="rootConnector" presStyleLbl="node3" presStyleIdx="15" presStyleCnt="26"/>
      <dgm:spPr/>
    </dgm:pt>
    <dgm:pt modelId="{B2AD4F02-F36C-401D-8888-3745F0D4101E}" type="pres">
      <dgm:prSet presAssocID="{9BB58A88-20AE-4A95-A6F1-A968783D2AB3}" presName="hierChild4" presStyleCnt="0"/>
      <dgm:spPr/>
    </dgm:pt>
    <dgm:pt modelId="{D05627CA-F7CA-4D2E-B458-ACE0811E72DF}" type="pres">
      <dgm:prSet presAssocID="{9BB58A88-20AE-4A95-A6F1-A968783D2AB3}" presName="hierChild5" presStyleCnt="0"/>
      <dgm:spPr/>
    </dgm:pt>
    <dgm:pt modelId="{5ACE7801-31BA-4D8E-B984-7C0B81D1F691}" type="pres">
      <dgm:prSet presAssocID="{3A1361DE-15D4-4D77-9511-0ECD6F436875}" presName="hierChild5" presStyleCnt="0"/>
      <dgm:spPr/>
    </dgm:pt>
    <dgm:pt modelId="{C1B1FEDF-8071-42AE-A935-C06E0A959EBE}" type="pres">
      <dgm:prSet presAssocID="{FC312BDD-6207-4126-BF08-60B420D725D9}" presName="Name37" presStyleLbl="parChTrans1D2" presStyleIdx="2" presStyleCnt="6"/>
      <dgm:spPr/>
    </dgm:pt>
    <dgm:pt modelId="{D61079E2-1C44-4600-B02C-1E4E75920278}" type="pres">
      <dgm:prSet presAssocID="{1A17A280-CF65-4BF2-9F58-7677009384C3}" presName="hierRoot2" presStyleCnt="0">
        <dgm:presLayoutVars>
          <dgm:hierBranch val="init"/>
        </dgm:presLayoutVars>
      </dgm:prSet>
      <dgm:spPr/>
    </dgm:pt>
    <dgm:pt modelId="{FF962BA4-2259-44C9-BC09-E8E09A688CFF}" type="pres">
      <dgm:prSet presAssocID="{1A17A280-CF65-4BF2-9F58-7677009384C3}" presName="rootComposite" presStyleCnt="0"/>
      <dgm:spPr/>
    </dgm:pt>
    <dgm:pt modelId="{3738F56F-BA36-434B-B58C-8D485EF3C430}" type="pres">
      <dgm:prSet presAssocID="{1A17A280-CF65-4BF2-9F58-7677009384C3}" presName="rootText" presStyleLbl="node2" presStyleIdx="2" presStyleCnt="6">
        <dgm:presLayoutVars>
          <dgm:chPref val="3"/>
        </dgm:presLayoutVars>
      </dgm:prSet>
      <dgm:spPr/>
    </dgm:pt>
    <dgm:pt modelId="{2E32C048-22BE-4848-A101-FA98F9DEB7B6}" type="pres">
      <dgm:prSet presAssocID="{1A17A280-CF65-4BF2-9F58-7677009384C3}" presName="rootConnector" presStyleLbl="node2" presStyleIdx="2" presStyleCnt="6"/>
      <dgm:spPr/>
    </dgm:pt>
    <dgm:pt modelId="{E282C0DE-16CA-402A-8B47-CFCA42A26D1B}" type="pres">
      <dgm:prSet presAssocID="{1A17A280-CF65-4BF2-9F58-7677009384C3}" presName="hierChild4" presStyleCnt="0"/>
      <dgm:spPr/>
    </dgm:pt>
    <dgm:pt modelId="{91804591-E6A3-47CD-8153-731BF6693F19}" type="pres">
      <dgm:prSet presAssocID="{8746137D-48A9-4014-A1F9-2A253E2BDD0A}" presName="Name37" presStyleLbl="parChTrans1D3" presStyleIdx="16" presStyleCnt="26"/>
      <dgm:spPr/>
    </dgm:pt>
    <dgm:pt modelId="{9910B9C8-6FCB-421E-9169-94E6B907BB1F}" type="pres">
      <dgm:prSet presAssocID="{02014D20-373A-4D79-9887-3DB16EFCAB9B}" presName="hierRoot2" presStyleCnt="0">
        <dgm:presLayoutVars>
          <dgm:hierBranch val="init"/>
        </dgm:presLayoutVars>
      </dgm:prSet>
      <dgm:spPr/>
    </dgm:pt>
    <dgm:pt modelId="{6016DBD4-FD7B-463B-A175-66CF0B60139D}" type="pres">
      <dgm:prSet presAssocID="{02014D20-373A-4D79-9887-3DB16EFCAB9B}" presName="rootComposite" presStyleCnt="0"/>
      <dgm:spPr/>
    </dgm:pt>
    <dgm:pt modelId="{592FD2E2-5729-46E7-87AE-D7B6353D7644}" type="pres">
      <dgm:prSet presAssocID="{02014D20-373A-4D79-9887-3DB16EFCAB9B}" presName="rootText" presStyleLbl="node3" presStyleIdx="16" presStyleCnt="26">
        <dgm:presLayoutVars>
          <dgm:chPref val="3"/>
        </dgm:presLayoutVars>
      </dgm:prSet>
      <dgm:spPr/>
    </dgm:pt>
    <dgm:pt modelId="{89723FC5-A025-4A43-ACBE-9D553729389A}" type="pres">
      <dgm:prSet presAssocID="{02014D20-373A-4D79-9887-3DB16EFCAB9B}" presName="rootConnector" presStyleLbl="node3" presStyleIdx="16" presStyleCnt="26"/>
      <dgm:spPr/>
    </dgm:pt>
    <dgm:pt modelId="{040B69DC-CEA1-4090-AD22-2671C3EC480F}" type="pres">
      <dgm:prSet presAssocID="{02014D20-373A-4D79-9887-3DB16EFCAB9B}" presName="hierChild4" presStyleCnt="0"/>
      <dgm:spPr/>
    </dgm:pt>
    <dgm:pt modelId="{B7ACFEBD-5065-4531-8BB4-BC4A6220F3D5}" type="pres">
      <dgm:prSet presAssocID="{02014D20-373A-4D79-9887-3DB16EFCAB9B}" presName="hierChild5" presStyleCnt="0"/>
      <dgm:spPr/>
    </dgm:pt>
    <dgm:pt modelId="{5CD3EF55-AAB5-4343-8418-698E60D28D5F}" type="pres">
      <dgm:prSet presAssocID="{9F628B97-7305-415D-9BDE-311EEFE838E9}" presName="Name37" presStyleLbl="parChTrans1D3" presStyleIdx="17" presStyleCnt="26"/>
      <dgm:spPr/>
    </dgm:pt>
    <dgm:pt modelId="{2B8765D2-EF0A-4466-A15E-EC4B0AEB9562}" type="pres">
      <dgm:prSet presAssocID="{BE9F4489-61DE-4E21-8466-C58F659B20EB}" presName="hierRoot2" presStyleCnt="0">
        <dgm:presLayoutVars>
          <dgm:hierBranch val="init"/>
        </dgm:presLayoutVars>
      </dgm:prSet>
      <dgm:spPr/>
    </dgm:pt>
    <dgm:pt modelId="{3A7CFFF7-25EC-4001-B083-B7E07B299476}" type="pres">
      <dgm:prSet presAssocID="{BE9F4489-61DE-4E21-8466-C58F659B20EB}" presName="rootComposite" presStyleCnt="0"/>
      <dgm:spPr/>
    </dgm:pt>
    <dgm:pt modelId="{256C9800-EC49-4C2C-8A9F-F4DFFEB5B57F}" type="pres">
      <dgm:prSet presAssocID="{BE9F4489-61DE-4E21-8466-C58F659B20EB}" presName="rootText" presStyleLbl="node3" presStyleIdx="17" presStyleCnt="26">
        <dgm:presLayoutVars>
          <dgm:chPref val="3"/>
        </dgm:presLayoutVars>
      </dgm:prSet>
      <dgm:spPr/>
    </dgm:pt>
    <dgm:pt modelId="{C59DA03B-B7CA-4AC5-AF6B-920289AB64AD}" type="pres">
      <dgm:prSet presAssocID="{BE9F4489-61DE-4E21-8466-C58F659B20EB}" presName="rootConnector" presStyleLbl="node3" presStyleIdx="17" presStyleCnt="26"/>
      <dgm:spPr/>
    </dgm:pt>
    <dgm:pt modelId="{08235603-8BD3-4C5B-982C-23B1F8C6CD4C}" type="pres">
      <dgm:prSet presAssocID="{BE9F4489-61DE-4E21-8466-C58F659B20EB}" presName="hierChild4" presStyleCnt="0"/>
      <dgm:spPr/>
    </dgm:pt>
    <dgm:pt modelId="{BAA8554D-D59E-4495-8C55-53598D60BE9C}" type="pres">
      <dgm:prSet presAssocID="{BE9F4489-61DE-4E21-8466-C58F659B20EB}" presName="hierChild5" presStyleCnt="0"/>
      <dgm:spPr/>
    </dgm:pt>
    <dgm:pt modelId="{DE9391FA-CE19-4AED-B9FC-D4F0444C3791}" type="pres">
      <dgm:prSet presAssocID="{7A48CB25-8C54-491A-A50A-761F16983D0C}" presName="Name37" presStyleLbl="parChTrans1D3" presStyleIdx="18" presStyleCnt="26"/>
      <dgm:spPr/>
    </dgm:pt>
    <dgm:pt modelId="{E05794A3-7766-46D4-8CE4-65C56D5D5BD3}" type="pres">
      <dgm:prSet presAssocID="{17164990-90AE-4309-9F9C-E39FDEC6924B}" presName="hierRoot2" presStyleCnt="0">
        <dgm:presLayoutVars>
          <dgm:hierBranch val="init"/>
        </dgm:presLayoutVars>
      </dgm:prSet>
      <dgm:spPr/>
    </dgm:pt>
    <dgm:pt modelId="{686FA3CF-D161-4778-A076-AB8D54B7F5DC}" type="pres">
      <dgm:prSet presAssocID="{17164990-90AE-4309-9F9C-E39FDEC6924B}" presName="rootComposite" presStyleCnt="0"/>
      <dgm:spPr/>
    </dgm:pt>
    <dgm:pt modelId="{90120405-F645-4526-9DD3-772057D93D7A}" type="pres">
      <dgm:prSet presAssocID="{17164990-90AE-4309-9F9C-E39FDEC6924B}" presName="rootText" presStyleLbl="node3" presStyleIdx="18" presStyleCnt="26">
        <dgm:presLayoutVars>
          <dgm:chPref val="3"/>
        </dgm:presLayoutVars>
      </dgm:prSet>
      <dgm:spPr/>
    </dgm:pt>
    <dgm:pt modelId="{6DCD0DF1-6F86-4D80-BBE1-3BAE1A6DB90F}" type="pres">
      <dgm:prSet presAssocID="{17164990-90AE-4309-9F9C-E39FDEC6924B}" presName="rootConnector" presStyleLbl="node3" presStyleIdx="18" presStyleCnt="26"/>
      <dgm:spPr/>
    </dgm:pt>
    <dgm:pt modelId="{8834FC7A-F9AF-4369-96A1-A3E9D222BB60}" type="pres">
      <dgm:prSet presAssocID="{17164990-90AE-4309-9F9C-E39FDEC6924B}" presName="hierChild4" presStyleCnt="0"/>
      <dgm:spPr/>
    </dgm:pt>
    <dgm:pt modelId="{F7C685C8-7F7E-4EA9-86DF-73C6D5B6B973}" type="pres">
      <dgm:prSet presAssocID="{17164990-90AE-4309-9F9C-E39FDEC6924B}" presName="hierChild5" presStyleCnt="0"/>
      <dgm:spPr/>
    </dgm:pt>
    <dgm:pt modelId="{F1BB266A-F428-43A0-A0B6-1E010A3D3AD7}" type="pres">
      <dgm:prSet presAssocID="{1A17A280-CF65-4BF2-9F58-7677009384C3}" presName="hierChild5" presStyleCnt="0"/>
      <dgm:spPr/>
    </dgm:pt>
    <dgm:pt modelId="{105E15DC-C145-4030-A5F1-0106D99ADC9C}" type="pres">
      <dgm:prSet presAssocID="{0004F5B1-3061-458B-BC3D-9443F897F480}" presName="Name37" presStyleLbl="parChTrans1D2" presStyleIdx="3" presStyleCnt="6"/>
      <dgm:spPr/>
    </dgm:pt>
    <dgm:pt modelId="{2D6AEE9D-4FF5-4C2C-8D47-BB9A57125852}" type="pres">
      <dgm:prSet presAssocID="{79906AE2-CDC5-44A8-B189-70703F0B600D}" presName="hierRoot2" presStyleCnt="0">
        <dgm:presLayoutVars>
          <dgm:hierBranch val="init"/>
        </dgm:presLayoutVars>
      </dgm:prSet>
      <dgm:spPr/>
    </dgm:pt>
    <dgm:pt modelId="{8F5FE1A4-7F8E-4D31-B009-DDF6397361A0}" type="pres">
      <dgm:prSet presAssocID="{79906AE2-CDC5-44A8-B189-70703F0B600D}" presName="rootComposite" presStyleCnt="0"/>
      <dgm:spPr/>
    </dgm:pt>
    <dgm:pt modelId="{5B17259D-0608-41D3-BC19-F0D24A4FF925}" type="pres">
      <dgm:prSet presAssocID="{79906AE2-CDC5-44A8-B189-70703F0B600D}" presName="rootText" presStyleLbl="node2" presStyleIdx="3" presStyleCnt="6">
        <dgm:presLayoutVars>
          <dgm:chPref val="3"/>
        </dgm:presLayoutVars>
      </dgm:prSet>
      <dgm:spPr/>
    </dgm:pt>
    <dgm:pt modelId="{A1816D55-4597-4BAB-B95B-C583FCD55531}" type="pres">
      <dgm:prSet presAssocID="{79906AE2-CDC5-44A8-B189-70703F0B600D}" presName="rootConnector" presStyleLbl="node2" presStyleIdx="3" presStyleCnt="6"/>
      <dgm:spPr/>
    </dgm:pt>
    <dgm:pt modelId="{E273B316-8541-4262-B1DD-8AB4D3F33389}" type="pres">
      <dgm:prSet presAssocID="{79906AE2-CDC5-44A8-B189-70703F0B600D}" presName="hierChild4" presStyleCnt="0"/>
      <dgm:spPr/>
    </dgm:pt>
    <dgm:pt modelId="{FE21D86C-E348-4048-9651-225AD00E7188}" type="pres">
      <dgm:prSet presAssocID="{042F2B56-478B-4A9D-B339-ED99572BD008}" presName="Name37" presStyleLbl="parChTrans1D3" presStyleIdx="19" presStyleCnt="26"/>
      <dgm:spPr/>
    </dgm:pt>
    <dgm:pt modelId="{E21CADC9-10DA-43CF-8FE5-578DD22ABC62}" type="pres">
      <dgm:prSet presAssocID="{30C2DBB5-FF1A-4B31-A605-0038EF732E70}" presName="hierRoot2" presStyleCnt="0">
        <dgm:presLayoutVars>
          <dgm:hierBranch val="init"/>
        </dgm:presLayoutVars>
      </dgm:prSet>
      <dgm:spPr/>
    </dgm:pt>
    <dgm:pt modelId="{C567E60D-0820-4782-AF1D-C973DF64C95F}" type="pres">
      <dgm:prSet presAssocID="{30C2DBB5-FF1A-4B31-A605-0038EF732E70}" presName="rootComposite" presStyleCnt="0"/>
      <dgm:spPr/>
    </dgm:pt>
    <dgm:pt modelId="{A4FCBB11-592E-445A-A7A3-6DCEE591362D}" type="pres">
      <dgm:prSet presAssocID="{30C2DBB5-FF1A-4B31-A605-0038EF732E70}" presName="rootText" presStyleLbl="node3" presStyleIdx="19" presStyleCnt="26">
        <dgm:presLayoutVars>
          <dgm:chPref val="3"/>
        </dgm:presLayoutVars>
      </dgm:prSet>
      <dgm:spPr/>
    </dgm:pt>
    <dgm:pt modelId="{B5AE971A-0188-4BFC-9BAC-EC8B0BB4F506}" type="pres">
      <dgm:prSet presAssocID="{30C2DBB5-FF1A-4B31-A605-0038EF732E70}" presName="rootConnector" presStyleLbl="node3" presStyleIdx="19" presStyleCnt="26"/>
      <dgm:spPr/>
    </dgm:pt>
    <dgm:pt modelId="{E8318D03-B0DD-4972-955F-3DE060A28424}" type="pres">
      <dgm:prSet presAssocID="{30C2DBB5-FF1A-4B31-A605-0038EF732E70}" presName="hierChild4" presStyleCnt="0"/>
      <dgm:spPr/>
    </dgm:pt>
    <dgm:pt modelId="{3888801D-5870-44FA-BDD0-2806D1288B0B}" type="pres">
      <dgm:prSet presAssocID="{30C2DBB5-FF1A-4B31-A605-0038EF732E70}" presName="hierChild5" presStyleCnt="0"/>
      <dgm:spPr/>
    </dgm:pt>
    <dgm:pt modelId="{D8169E92-1CB7-42A8-B52C-539C55FD0BA4}" type="pres">
      <dgm:prSet presAssocID="{06246C81-8189-48E3-B444-BB7475F66864}" presName="Name37" presStyleLbl="parChTrans1D3" presStyleIdx="20" presStyleCnt="26"/>
      <dgm:spPr/>
    </dgm:pt>
    <dgm:pt modelId="{63D2B186-73D6-47A1-98C9-D20889F8175F}" type="pres">
      <dgm:prSet presAssocID="{458C7036-E34C-4987-8F36-DD276ADC28D8}" presName="hierRoot2" presStyleCnt="0">
        <dgm:presLayoutVars>
          <dgm:hierBranch val="init"/>
        </dgm:presLayoutVars>
      </dgm:prSet>
      <dgm:spPr/>
    </dgm:pt>
    <dgm:pt modelId="{301470A8-E52D-4199-9E27-BA960A177C90}" type="pres">
      <dgm:prSet presAssocID="{458C7036-E34C-4987-8F36-DD276ADC28D8}" presName="rootComposite" presStyleCnt="0"/>
      <dgm:spPr/>
    </dgm:pt>
    <dgm:pt modelId="{E0D7C74B-7383-4426-81E9-B0286FC15202}" type="pres">
      <dgm:prSet presAssocID="{458C7036-E34C-4987-8F36-DD276ADC28D8}" presName="rootText" presStyleLbl="node3" presStyleIdx="20" presStyleCnt="26">
        <dgm:presLayoutVars>
          <dgm:chPref val="3"/>
        </dgm:presLayoutVars>
      </dgm:prSet>
      <dgm:spPr/>
    </dgm:pt>
    <dgm:pt modelId="{28C5085E-1B9B-4351-B5A2-13718F877C41}" type="pres">
      <dgm:prSet presAssocID="{458C7036-E34C-4987-8F36-DD276ADC28D8}" presName="rootConnector" presStyleLbl="node3" presStyleIdx="20" presStyleCnt="26"/>
      <dgm:spPr/>
    </dgm:pt>
    <dgm:pt modelId="{748E2D8E-0286-4718-B83D-7B1E58BF19AA}" type="pres">
      <dgm:prSet presAssocID="{458C7036-E34C-4987-8F36-DD276ADC28D8}" presName="hierChild4" presStyleCnt="0"/>
      <dgm:spPr/>
    </dgm:pt>
    <dgm:pt modelId="{A8CAB6E1-7B80-4006-A231-C6D3DDFD01E5}" type="pres">
      <dgm:prSet presAssocID="{458C7036-E34C-4987-8F36-DD276ADC28D8}" presName="hierChild5" presStyleCnt="0"/>
      <dgm:spPr/>
    </dgm:pt>
    <dgm:pt modelId="{3E25D8A3-3ADD-416D-84B3-FC2BA60D7833}" type="pres">
      <dgm:prSet presAssocID="{40713A56-461F-438B-8F50-66D94A742850}" presName="Name37" presStyleLbl="parChTrans1D3" presStyleIdx="21" presStyleCnt="26"/>
      <dgm:spPr/>
    </dgm:pt>
    <dgm:pt modelId="{85BBA256-2AEE-4D18-8D0A-2DF3D9EE3D7A}" type="pres">
      <dgm:prSet presAssocID="{E4EDC9E5-38CF-457B-8215-15F9D07B755D}" presName="hierRoot2" presStyleCnt="0">
        <dgm:presLayoutVars>
          <dgm:hierBranch val="init"/>
        </dgm:presLayoutVars>
      </dgm:prSet>
      <dgm:spPr/>
    </dgm:pt>
    <dgm:pt modelId="{EA643F6B-D66C-4F62-85BF-7F677D42AD79}" type="pres">
      <dgm:prSet presAssocID="{E4EDC9E5-38CF-457B-8215-15F9D07B755D}" presName="rootComposite" presStyleCnt="0"/>
      <dgm:spPr/>
    </dgm:pt>
    <dgm:pt modelId="{AD178156-4FB1-49D7-A90E-2DE3C82AFFBD}" type="pres">
      <dgm:prSet presAssocID="{E4EDC9E5-38CF-457B-8215-15F9D07B755D}" presName="rootText" presStyleLbl="node3" presStyleIdx="21" presStyleCnt="26">
        <dgm:presLayoutVars>
          <dgm:chPref val="3"/>
        </dgm:presLayoutVars>
      </dgm:prSet>
      <dgm:spPr/>
    </dgm:pt>
    <dgm:pt modelId="{2AFE6BB0-37A7-4568-9C8F-7025DB6FDCA3}" type="pres">
      <dgm:prSet presAssocID="{E4EDC9E5-38CF-457B-8215-15F9D07B755D}" presName="rootConnector" presStyleLbl="node3" presStyleIdx="21" presStyleCnt="26"/>
      <dgm:spPr/>
    </dgm:pt>
    <dgm:pt modelId="{45AB5B6D-2384-47CC-AD1F-77FB7712078D}" type="pres">
      <dgm:prSet presAssocID="{E4EDC9E5-38CF-457B-8215-15F9D07B755D}" presName="hierChild4" presStyleCnt="0"/>
      <dgm:spPr/>
    </dgm:pt>
    <dgm:pt modelId="{B3E90735-CC52-46E1-A340-05D152F2C713}" type="pres">
      <dgm:prSet presAssocID="{E4EDC9E5-38CF-457B-8215-15F9D07B755D}" presName="hierChild5" presStyleCnt="0"/>
      <dgm:spPr/>
    </dgm:pt>
    <dgm:pt modelId="{77D86858-B4B0-4F18-B923-218E92F24285}" type="pres">
      <dgm:prSet presAssocID="{79906AE2-CDC5-44A8-B189-70703F0B600D}" presName="hierChild5" presStyleCnt="0"/>
      <dgm:spPr/>
    </dgm:pt>
    <dgm:pt modelId="{F88C4DB4-2F9A-41DC-9636-1969AA9F5921}" type="pres">
      <dgm:prSet presAssocID="{9DE69D78-18AA-4BEF-AC92-3AFFB9FA14D3}" presName="Name37" presStyleLbl="parChTrans1D2" presStyleIdx="4" presStyleCnt="6"/>
      <dgm:spPr/>
    </dgm:pt>
    <dgm:pt modelId="{E1043A21-CDA2-4697-BAB8-0936FAD5FDF4}" type="pres">
      <dgm:prSet presAssocID="{13B0BAC9-BB9E-4006-A606-95AEDC69BABE}" presName="hierRoot2" presStyleCnt="0">
        <dgm:presLayoutVars>
          <dgm:hierBranch val="init"/>
        </dgm:presLayoutVars>
      </dgm:prSet>
      <dgm:spPr/>
    </dgm:pt>
    <dgm:pt modelId="{2F6276F1-CB2B-4D2D-B37E-5D914DF3C296}" type="pres">
      <dgm:prSet presAssocID="{13B0BAC9-BB9E-4006-A606-95AEDC69BABE}" presName="rootComposite" presStyleCnt="0"/>
      <dgm:spPr/>
    </dgm:pt>
    <dgm:pt modelId="{6F22A782-CB09-4909-A6C0-6F6FAC2C0F33}" type="pres">
      <dgm:prSet presAssocID="{13B0BAC9-BB9E-4006-A606-95AEDC69BABE}" presName="rootText" presStyleLbl="node2" presStyleIdx="4" presStyleCnt="6">
        <dgm:presLayoutVars>
          <dgm:chPref val="3"/>
        </dgm:presLayoutVars>
      </dgm:prSet>
      <dgm:spPr/>
    </dgm:pt>
    <dgm:pt modelId="{3A425C85-456A-4441-A8F9-85FA3E10611D}" type="pres">
      <dgm:prSet presAssocID="{13B0BAC9-BB9E-4006-A606-95AEDC69BABE}" presName="rootConnector" presStyleLbl="node2" presStyleIdx="4" presStyleCnt="6"/>
      <dgm:spPr/>
    </dgm:pt>
    <dgm:pt modelId="{6055ED0D-03A0-46CB-A91E-EEC805D05CEF}" type="pres">
      <dgm:prSet presAssocID="{13B0BAC9-BB9E-4006-A606-95AEDC69BABE}" presName="hierChild4" presStyleCnt="0"/>
      <dgm:spPr/>
    </dgm:pt>
    <dgm:pt modelId="{8EA8659D-3A47-4632-82BB-C74651F511E9}" type="pres">
      <dgm:prSet presAssocID="{57C9BB0A-CBCD-40DA-A523-68C50B1F19E2}" presName="Name37" presStyleLbl="parChTrans1D3" presStyleIdx="22" presStyleCnt="26"/>
      <dgm:spPr/>
    </dgm:pt>
    <dgm:pt modelId="{ED0304E7-6F74-42E9-ABD5-A12F13E9A125}" type="pres">
      <dgm:prSet presAssocID="{F621E028-200F-4EEF-B81C-78341D4D1C39}" presName="hierRoot2" presStyleCnt="0">
        <dgm:presLayoutVars>
          <dgm:hierBranch val="init"/>
        </dgm:presLayoutVars>
      </dgm:prSet>
      <dgm:spPr/>
    </dgm:pt>
    <dgm:pt modelId="{2A7B7E49-E25E-49D1-A83A-5A99DA0324D8}" type="pres">
      <dgm:prSet presAssocID="{F621E028-200F-4EEF-B81C-78341D4D1C39}" presName="rootComposite" presStyleCnt="0"/>
      <dgm:spPr/>
    </dgm:pt>
    <dgm:pt modelId="{82BB8643-EE7A-4C3B-96DE-90A6D2242298}" type="pres">
      <dgm:prSet presAssocID="{F621E028-200F-4EEF-B81C-78341D4D1C39}" presName="rootText" presStyleLbl="node3" presStyleIdx="22" presStyleCnt="26">
        <dgm:presLayoutVars>
          <dgm:chPref val="3"/>
        </dgm:presLayoutVars>
      </dgm:prSet>
      <dgm:spPr/>
    </dgm:pt>
    <dgm:pt modelId="{9EF8547B-2B04-4418-8E29-08800EAFCB9C}" type="pres">
      <dgm:prSet presAssocID="{F621E028-200F-4EEF-B81C-78341D4D1C39}" presName="rootConnector" presStyleLbl="node3" presStyleIdx="22" presStyleCnt="26"/>
      <dgm:spPr/>
    </dgm:pt>
    <dgm:pt modelId="{A93E1856-78D3-426A-96ED-A0473BD3FDED}" type="pres">
      <dgm:prSet presAssocID="{F621E028-200F-4EEF-B81C-78341D4D1C39}" presName="hierChild4" presStyleCnt="0"/>
      <dgm:spPr/>
    </dgm:pt>
    <dgm:pt modelId="{687CE919-07E8-4E9D-BF97-A547ABD073F5}" type="pres">
      <dgm:prSet presAssocID="{F621E028-200F-4EEF-B81C-78341D4D1C39}" presName="hierChild5" presStyleCnt="0"/>
      <dgm:spPr/>
    </dgm:pt>
    <dgm:pt modelId="{6E1A0B20-0568-42A8-95AC-F941D2850DFB}" type="pres">
      <dgm:prSet presAssocID="{31B39E32-D1AE-426E-8276-C7FB647E64D7}" presName="Name37" presStyleLbl="parChTrans1D3" presStyleIdx="23" presStyleCnt="26"/>
      <dgm:spPr/>
    </dgm:pt>
    <dgm:pt modelId="{CD79FB82-E338-4A3D-9102-084C0E5AEC57}" type="pres">
      <dgm:prSet presAssocID="{796A48E6-876A-4BC4-AF25-129A077AD029}" presName="hierRoot2" presStyleCnt="0">
        <dgm:presLayoutVars>
          <dgm:hierBranch val="init"/>
        </dgm:presLayoutVars>
      </dgm:prSet>
      <dgm:spPr/>
    </dgm:pt>
    <dgm:pt modelId="{E61506CE-8CE9-4978-9B98-B7DA7897C83F}" type="pres">
      <dgm:prSet presAssocID="{796A48E6-876A-4BC4-AF25-129A077AD029}" presName="rootComposite" presStyleCnt="0"/>
      <dgm:spPr/>
    </dgm:pt>
    <dgm:pt modelId="{C506D87D-2D2C-4A19-AA19-8070A38616DC}" type="pres">
      <dgm:prSet presAssocID="{796A48E6-876A-4BC4-AF25-129A077AD029}" presName="rootText" presStyleLbl="node3" presStyleIdx="23" presStyleCnt="26">
        <dgm:presLayoutVars>
          <dgm:chPref val="3"/>
        </dgm:presLayoutVars>
      </dgm:prSet>
      <dgm:spPr/>
    </dgm:pt>
    <dgm:pt modelId="{F339A598-E8AE-406B-9FB1-947D9727AE66}" type="pres">
      <dgm:prSet presAssocID="{796A48E6-876A-4BC4-AF25-129A077AD029}" presName="rootConnector" presStyleLbl="node3" presStyleIdx="23" presStyleCnt="26"/>
      <dgm:spPr/>
    </dgm:pt>
    <dgm:pt modelId="{74EAC1F8-254D-4113-B7A5-DEAD89093F09}" type="pres">
      <dgm:prSet presAssocID="{796A48E6-876A-4BC4-AF25-129A077AD029}" presName="hierChild4" presStyleCnt="0"/>
      <dgm:spPr/>
    </dgm:pt>
    <dgm:pt modelId="{C729CFE8-F4BC-4F13-87AA-8EA4A89BE4A3}" type="pres">
      <dgm:prSet presAssocID="{796A48E6-876A-4BC4-AF25-129A077AD029}" presName="hierChild5" presStyleCnt="0"/>
      <dgm:spPr/>
    </dgm:pt>
    <dgm:pt modelId="{E948A24A-14FD-4A4D-86B1-0AB7D01C1A47}" type="pres">
      <dgm:prSet presAssocID="{13B0BAC9-BB9E-4006-A606-95AEDC69BABE}" presName="hierChild5" presStyleCnt="0"/>
      <dgm:spPr/>
    </dgm:pt>
    <dgm:pt modelId="{07F43EFE-E9C6-46EF-9879-B68628414585}" type="pres">
      <dgm:prSet presAssocID="{0992ABB2-F8DB-4658-AC5F-0F1DE3DB962A}" presName="Name37" presStyleLbl="parChTrans1D2" presStyleIdx="5" presStyleCnt="6"/>
      <dgm:spPr/>
    </dgm:pt>
    <dgm:pt modelId="{49831BA3-7861-4036-AD9A-7974D8F4F0F5}" type="pres">
      <dgm:prSet presAssocID="{B15DE2A1-4248-436D-AF7F-E619276BEFA7}" presName="hierRoot2" presStyleCnt="0">
        <dgm:presLayoutVars>
          <dgm:hierBranch val="init"/>
        </dgm:presLayoutVars>
      </dgm:prSet>
      <dgm:spPr/>
    </dgm:pt>
    <dgm:pt modelId="{9303A810-FBB9-44C6-BA78-51E5AF99C948}" type="pres">
      <dgm:prSet presAssocID="{B15DE2A1-4248-436D-AF7F-E619276BEFA7}" presName="rootComposite" presStyleCnt="0"/>
      <dgm:spPr/>
    </dgm:pt>
    <dgm:pt modelId="{1B6633F2-DD73-4476-8E7A-2B944827CAEB}" type="pres">
      <dgm:prSet presAssocID="{B15DE2A1-4248-436D-AF7F-E619276BEFA7}" presName="rootText" presStyleLbl="node2" presStyleIdx="5" presStyleCnt="6">
        <dgm:presLayoutVars>
          <dgm:chPref val="3"/>
        </dgm:presLayoutVars>
      </dgm:prSet>
      <dgm:spPr/>
    </dgm:pt>
    <dgm:pt modelId="{664501EE-2DBB-4DC6-BC82-D6DD3839214F}" type="pres">
      <dgm:prSet presAssocID="{B15DE2A1-4248-436D-AF7F-E619276BEFA7}" presName="rootConnector" presStyleLbl="node2" presStyleIdx="5" presStyleCnt="6"/>
      <dgm:spPr/>
    </dgm:pt>
    <dgm:pt modelId="{E05ED24E-0866-48EA-BF14-F876F9A7DEDD}" type="pres">
      <dgm:prSet presAssocID="{B15DE2A1-4248-436D-AF7F-E619276BEFA7}" presName="hierChild4" presStyleCnt="0"/>
      <dgm:spPr/>
    </dgm:pt>
    <dgm:pt modelId="{F4258529-B320-496D-8657-D9C756F45843}" type="pres">
      <dgm:prSet presAssocID="{7897056A-2277-4BBB-9242-DFDF60E12183}" presName="Name37" presStyleLbl="parChTrans1D3" presStyleIdx="24" presStyleCnt="26"/>
      <dgm:spPr/>
    </dgm:pt>
    <dgm:pt modelId="{25E51C60-48BD-4086-89D0-182A72A6DBAA}" type="pres">
      <dgm:prSet presAssocID="{E541C408-B28F-463C-A193-11E927A087A4}" presName="hierRoot2" presStyleCnt="0">
        <dgm:presLayoutVars>
          <dgm:hierBranch val="init"/>
        </dgm:presLayoutVars>
      </dgm:prSet>
      <dgm:spPr/>
    </dgm:pt>
    <dgm:pt modelId="{38DAFC55-F573-4CEA-B995-D9428EC1C2C6}" type="pres">
      <dgm:prSet presAssocID="{E541C408-B28F-463C-A193-11E927A087A4}" presName="rootComposite" presStyleCnt="0"/>
      <dgm:spPr/>
    </dgm:pt>
    <dgm:pt modelId="{DEA754EC-101B-4607-8A62-78CC03ACADC2}" type="pres">
      <dgm:prSet presAssocID="{E541C408-B28F-463C-A193-11E927A087A4}" presName="rootText" presStyleLbl="node3" presStyleIdx="24" presStyleCnt="26">
        <dgm:presLayoutVars>
          <dgm:chPref val="3"/>
        </dgm:presLayoutVars>
      </dgm:prSet>
      <dgm:spPr/>
    </dgm:pt>
    <dgm:pt modelId="{620C4DB9-1D14-40EB-A3B5-D4D88EDF5358}" type="pres">
      <dgm:prSet presAssocID="{E541C408-B28F-463C-A193-11E927A087A4}" presName="rootConnector" presStyleLbl="node3" presStyleIdx="24" presStyleCnt="26"/>
      <dgm:spPr/>
    </dgm:pt>
    <dgm:pt modelId="{183413BB-17D4-4D1B-BC5F-AF9728491341}" type="pres">
      <dgm:prSet presAssocID="{E541C408-B28F-463C-A193-11E927A087A4}" presName="hierChild4" presStyleCnt="0"/>
      <dgm:spPr/>
    </dgm:pt>
    <dgm:pt modelId="{892FD172-1BF6-45CA-B8FA-23A990642C0A}" type="pres">
      <dgm:prSet presAssocID="{E541C408-B28F-463C-A193-11E927A087A4}" presName="hierChild5" presStyleCnt="0"/>
      <dgm:spPr/>
    </dgm:pt>
    <dgm:pt modelId="{78E89890-86CE-48B2-ACD1-20EAB4E88D0D}" type="pres">
      <dgm:prSet presAssocID="{110618BD-5653-4D3D-814B-A58ACDE11EAF}" presName="Name37" presStyleLbl="parChTrans1D3" presStyleIdx="25" presStyleCnt="26"/>
      <dgm:spPr/>
    </dgm:pt>
    <dgm:pt modelId="{CE563535-E2A1-4C15-B481-0042CCCF8EE3}" type="pres">
      <dgm:prSet presAssocID="{16F209AE-90DC-4B4E-8C44-235200F83B96}" presName="hierRoot2" presStyleCnt="0">
        <dgm:presLayoutVars>
          <dgm:hierBranch val="init"/>
        </dgm:presLayoutVars>
      </dgm:prSet>
      <dgm:spPr/>
    </dgm:pt>
    <dgm:pt modelId="{6178B015-A752-49C8-B528-DC0CD0295056}" type="pres">
      <dgm:prSet presAssocID="{16F209AE-90DC-4B4E-8C44-235200F83B96}" presName="rootComposite" presStyleCnt="0"/>
      <dgm:spPr/>
    </dgm:pt>
    <dgm:pt modelId="{8F0FDAB8-C913-4406-979B-B67AD56C95F3}" type="pres">
      <dgm:prSet presAssocID="{16F209AE-90DC-4B4E-8C44-235200F83B96}" presName="rootText" presStyleLbl="node3" presStyleIdx="25" presStyleCnt="26">
        <dgm:presLayoutVars>
          <dgm:chPref val="3"/>
        </dgm:presLayoutVars>
      </dgm:prSet>
      <dgm:spPr/>
    </dgm:pt>
    <dgm:pt modelId="{42497CF5-7703-4229-B171-E503F4198644}" type="pres">
      <dgm:prSet presAssocID="{16F209AE-90DC-4B4E-8C44-235200F83B96}" presName="rootConnector" presStyleLbl="node3" presStyleIdx="25" presStyleCnt="26"/>
      <dgm:spPr/>
    </dgm:pt>
    <dgm:pt modelId="{44B82C24-1921-4A06-A364-CD5DEBC29828}" type="pres">
      <dgm:prSet presAssocID="{16F209AE-90DC-4B4E-8C44-235200F83B96}" presName="hierChild4" presStyleCnt="0"/>
      <dgm:spPr/>
    </dgm:pt>
    <dgm:pt modelId="{B4062BF6-969C-497B-8FA5-E3664A1DACDC}" type="pres">
      <dgm:prSet presAssocID="{16F209AE-90DC-4B4E-8C44-235200F83B96}" presName="hierChild5" presStyleCnt="0"/>
      <dgm:spPr/>
    </dgm:pt>
    <dgm:pt modelId="{BFDEDC4C-4F43-4E7A-AE74-0ECF83E2F95C}" type="pres">
      <dgm:prSet presAssocID="{B15DE2A1-4248-436D-AF7F-E619276BEFA7}" presName="hierChild5" presStyleCnt="0"/>
      <dgm:spPr/>
    </dgm:pt>
    <dgm:pt modelId="{C86720F8-A9FF-448E-BE26-66E976FAEF89}" type="pres">
      <dgm:prSet presAssocID="{4F706629-3B5A-42A7-95BD-CDAF79F0124C}" presName="hierChild3" presStyleCnt="0"/>
      <dgm:spPr/>
    </dgm:pt>
  </dgm:ptLst>
  <dgm:cxnLst>
    <dgm:cxn modelId="{CCFD9A00-48D8-4AC7-B8EC-C08686BE1291}" srcId="{4354C341-1619-418E-A93A-2FA89798B570}" destId="{4F706629-3B5A-42A7-95BD-CDAF79F0124C}" srcOrd="0" destOrd="0" parTransId="{CFB2C132-0C2E-4283-9916-270BF0835907}" sibTransId="{45B25FCF-D576-4667-A742-27BC18E7A295}"/>
    <dgm:cxn modelId="{884C0E01-312C-41D2-9767-D9F23862CD45}" srcId="{13B0BAC9-BB9E-4006-A606-95AEDC69BABE}" destId="{F621E028-200F-4EEF-B81C-78341D4D1C39}" srcOrd="0" destOrd="0" parTransId="{57C9BB0A-CBCD-40DA-A523-68C50B1F19E2}" sibTransId="{9132BA42-BF98-445E-B286-6407F233853D}"/>
    <dgm:cxn modelId="{60952102-A74D-422B-9173-3B88A4D75418}" srcId="{9CD6ED92-FD75-4AF3-B6F9-EC8AA710D8F5}" destId="{354399C6-253A-4805-9C8E-9D936CFB3D74}" srcOrd="7" destOrd="0" parTransId="{8A53DB7E-D430-4431-8701-E90986706C16}" sibTransId="{073D5406-321A-40BC-B71A-A98316AD1B4E}"/>
    <dgm:cxn modelId="{D850C302-67A5-4A83-80A3-655EEB81D454}" srcId="{9CD6ED92-FD75-4AF3-B6F9-EC8AA710D8F5}" destId="{FA6D3483-692D-4408-931B-4FE6165263E4}" srcOrd="2" destOrd="0" parTransId="{F02A8144-2DA0-4A81-9B76-2C16651C8C64}" sibTransId="{DD50B814-D83E-4A3C-9966-441E3F4A0E2E}"/>
    <dgm:cxn modelId="{DD5E6203-6FBD-4063-8321-FB0A58B903FF}" srcId="{3A1361DE-15D4-4D77-9511-0ECD6F436875}" destId="{81CD926B-86DD-4AE8-891F-1EA761D9CB16}" srcOrd="2" destOrd="0" parTransId="{32A36891-4B54-4488-AA29-D185AA456779}" sibTransId="{82EDC575-CEFA-4740-A34D-9243C89B734A}"/>
    <dgm:cxn modelId="{B50CD903-325D-429E-8806-15DCBB53AB8E}" srcId="{79906AE2-CDC5-44A8-B189-70703F0B600D}" destId="{458C7036-E34C-4987-8F36-DD276ADC28D8}" srcOrd="1" destOrd="0" parTransId="{06246C81-8189-48E3-B444-BB7475F66864}" sibTransId="{213715C2-49EB-4E4A-B363-199A02E715EA}"/>
    <dgm:cxn modelId="{8885160A-06F2-4A06-82CF-DC33B7095B61}" type="presOf" srcId="{042F2B56-478B-4A9D-B339-ED99572BD008}" destId="{FE21D86C-E348-4048-9651-225AD00E7188}" srcOrd="0" destOrd="0" presId="urn:microsoft.com/office/officeart/2005/8/layout/orgChart1"/>
    <dgm:cxn modelId="{87F23E0D-5CA2-4511-9768-EF23B645F31B}" type="presOf" srcId="{02014D20-373A-4D79-9887-3DB16EFCAB9B}" destId="{592FD2E2-5729-46E7-87AE-D7B6353D7644}" srcOrd="0" destOrd="0" presId="urn:microsoft.com/office/officeart/2005/8/layout/orgChart1"/>
    <dgm:cxn modelId="{5276360E-6609-4343-ACC8-4DF83884CD76}" srcId="{9CD6ED92-FD75-4AF3-B6F9-EC8AA710D8F5}" destId="{8D7FECC9-22A2-45F8-9D81-CDE2141E7488}" srcOrd="5" destOrd="0" parTransId="{948734C0-BE17-477B-AD70-AA0792B87F16}" sibTransId="{E46BC042-83BC-475D-AE54-0B4CA92249FA}"/>
    <dgm:cxn modelId="{3973100F-ABBD-4D06-906C-028D2109E4CE}" srcId="{3A1361DE-15D4-4D77-9511-0ECD6F436875}" destId="{9BB58A88-20AE-4A95-A6F1-A968783D2AB3}" srcOrd="7" destOrd="0" parTransId="{5626FA9D-7819-4BB5-821D-050A1D8CBB6F}" sibTransId="{10235A16-0935-400F-A3E3-218DF51C5EDB}"/>
    <dgm:cxn modelId="{9D203513-B86C-4A13-A776-5681013E1D31}" type="presOf" srcId="{AB4E1661-77BD-47D6-AC22-1FD25251AF95}" destId="{C0032A54-61C1-4496-843D-D43B7D5F036E}" srcOrd="0" destOrd="0" presId="urn:microsoft.com/office/officeart/2005/8/layout/orgChart1"/>
    <dgm:cxn modelId="{08458816-B44D-455C-B2D6-DE705283E475}" type="presOf" srcId="{E4EDC9E5-38CF-457B-8215-15F9D07B755D}" destId="{AD178156-4FB1-49D7-A90E-2DE3C82AFFBD}" srcOrd="0" destOrd="0" presId="urn:microsoft.com/office/officeart/2005/8/layout/orgChart1"/>
    <dgm:cxn modelId="{491B1E1B-CE1A-4A88-B5D3-B87C3B4055B3}" type="presOf" srcId="{52388ED5-A43D-40D4-BF3B-9DEEC4F04EEB}" destId="{79D00E18-23D5-4B48-B077-EE469E00D6F1}" srcOrd="0" destOrd="0" presId="urn:microsoft.com/office/officeart/2005/8/layout/orgChart1"/>
    <dgm:cxn modelId="{F2E9731C-DB27-4E93-BE16-4B09DB7AF2D5}" type="presOf" srcId="{13F179E9-8A01-4798-B555-6385EAF36449}" destId="{C4AE23C5-C7B4-4BC7-B9C2-507CF3103D3A}" srcOrd="0" destOrd="0" presId="urn:microsoft.com/office/officeart/2005/8/layout/orgChart1"/>
    <dgm:cxn modelId="{C3A9811F-A2AF-4E77-BFF1-ADF3D1DAA356}" type="presOf" srcId="{5C1AA477-74BD-4347-9414-68F4AB95180D}" destId="{4568AE57-8C55-46E6-BAAB-31671799D38C}" srcOrd="0" destOrd="0" presId="urn:microsoft.com/office/officeart/2005/8/layout/orgChart1"/>
    <dgm:cxn modelId="{F4AD4820-3AC9-4A54-B709-F23E3EA8C520}" type="presOf" srcId="{02014D20-373A-4D79-9887-3DB16EFCAB9B}" destId="{89723FC5-A025-4A43-ACBE-9D553729389A}" srcOrd="1" destOrd="0" presId="urn:microsoft.com/office/officeart/2005/8/layout/orgChart1"/>
    <dgm:cxn modelId="{097A9C26-AB65-432A-9542-65D59B9905AA}" type="presOf" srcId="{9BB58A88-20AE-4A95-A6F1-A968783D2AB3}" destId="{1C3D8AE5-0313-41D1-8F4B-23FB984360EE}" srcOrd="0" destOrd="0" presId="urn:microsoft.com/office/officeart/2005/8/layout/orgChart1"/>
    <dgm:cxn modelId="{AB499C30-8EAA-412E-A00D-D828C1DCC226}" type="presOf" srcId="{8A53DB7E-D430-4431-8701-E90986706C16}" destId="{93AFC06A-D3DE-439F-92EE-CF5B87921D2D}" srcOrd="0" destOrd="0" presId="urn:microsoft.com/office/officeart/2005/8/layout/orgChart1"/>
    <dgm:cxn modelId="{FFAF9333-8EBC-438C-87FA-0AFF8EFE9A0D}" srcId="{3A1361DE-15D4-4D77-9511-0ECD6F436875}" destId="{5C754CE0-A0A5-47AC-9EF6-FEE0E4DBB350}" srcOrd="3" destOrd="0" parTransId="{40B1E693-1CEE-4C6D-BBF1-609E70F91410}" sibTransId="{A56EB082-0AC0-4566-88A3-9A910DFD9D8B}"/>
    <dgm:cxn modelId="{8661B434-FAFC-4BA3-BEE0-16FDD94107C9}" srcId="{1A17A280-CF65-4BF2-9F58-7677009384C3}" destId="{BE9F4489-61DE-4E21-8466-C58F659B20EB}" srcOrd="1" destOrd="0" parTransId="{9F628B97-7305-415D-9BDE-311EEFE838E9}" sibTransId="{A88D4D16-E987-483C-BC6E-EC97691A709A}"/>
    <dgm:cxn modelId="{71EDFF36-1A32-44AB-AEF1-D7BBB9F969D1}" type="presOf" srcId="{4354C341-1619-418E-A93A-2FA89798B570}" destId="{5B5FC3E0-602B-4A14-8622-52E61B7A3DF3}" srcOrd="0" destOrd="0" presId="urn:microsoft.com/office/officeart/2005/8/layout/orgChart1"/>
    <dgm:cxn modelId="{A2054438-57BE-4B24-979C-D95500E6228A}" type="presOf" srcId="{B15DE2A1-4248-436D-AF7F-E619276BEFA7}" destId="{664501EE-2DBB-4DC6-BC82-D6DD3839214F}" srcOrd="1" destOrd="0" presId="urn:microsoft.com/office/officeart/2005/8/layout/orgChart1"/>
    <dgm:cxn modelId="{9E5FE038-5597-426A-9CCB-26F2179DDADE}" type="presOf" srcId="{8746137D-48A9-4014-A1F9-2A253E2BDD0A}" destId="{91804591-E6A3-47CD-8153-731BF6693F19}" srcOrd="0" destOrd="0" presId="urn:microsoft.com/office/officeart/2005/8/layout/orgChart1"/>
    <dgm:cxn modelId="{69F58E3A-9C91-4B44-9D1A-BDC95FAB3973}" type="presOf" srcId="{948734C0-BE17-477B-AD70-AA0792B87F16}" destId="{BF6BF692-4E74-46EF-8EB7-572B179CE4DE}" srcOrd="0" destOrd="0" presId="urn:microsoft.com/office/officeart/2005/8/layout/orgChart1"/>
    <dgm:cxn modelId="{C0EAD03A-CF3C-4A46-9AF4-234B7854D60B}" type="presOf" srcId="{56E2CF09-1E5A-4E71-800D-EE91066DC5C8}" destId="{CFC9B2FD-5026-450C-BCFB-C37D283D1B90}" srcOrd="0" destOrd="0" presId="urn:microsoft.com/office/officeart/2005/8/layout/orgChart1"/>
    <dgm:cxn modelId="{846CDD3A-E28E-4F96-A403-1A2E31371CA9}" type="presOf" srcId="{E73D39C2-9274-4477-8843-EE46CF9A0726}" destId="{074EDB20-0C87-4E8D-A6B3-3E517BACEDF9}" srcOrd="0" destOrd="0" presId="urn:microsoft.com/office/officeart/2005/8/layout/orgChart1"/>
    <dgm:cxn modelId="{CD62523C-2DF4-4455-9452-1BC10F938706}" type="presOf" srcId="{9BEC76F9-F52E-4433-8107-7A702E0B593A}" destId="{ED3F9AA5-C898-4FB1-94A9-E2820738A83C}" srcOrd="1" destOrd="0" presId="urn:microsoft.com/office/officeart/2005/8/layout/orgChart1"/>
    <dgm:cxn modelId="{BDBA9E3F-2525-4355-BAD8-0206FC4E19BD}" type="presOf" srcId="{5C754CE0-A0A5-47AC-9EF6-FEE0E4DBB350}" destId="{3EA4EF2D-FF4A-4E65-8B7F-6330FA28A81D}" srcOrd="1" destOrd="0" presId="urn:microsoft.com/office/officeart/2005/8/layout/orgChart1"/>
    <dgm:cxn modelId="{894BA03F-B435-491C-9EAD-8D96D3E0FD3C}" type="presOf" srcId="{82BE8713-E9A9-42B2-8110-D5E2167FF1B5}" destId="{3EDFBCFD-3F88-4634-9620-B99227736F66}" srcOrd="0" destOrd="0" presId="urn:microsoft.com/office/officeart/2005/8/layout/orgChart1"/>
    <dgm:cxn modelId="{029CC53F-F074-4738-8B68-F615D2104B78}" type="presOf" srcId="{BE9F4489-61DE-4E21-8466-C58F659B20EB}" destId="{C59DA03B-B7CA-4AC5-AF6B-920289AB64AD}" srcOrd="1" destOrd="0" presId="urn:microsoft.com/office/officeart/2005/8/layout/orgChart1"/>
    <dgm:cxn modelId="{665BE040-FA58-48F3-A1BA-D3AD065CF73F}" type="presOf" srcId="{1A17A280-CF65-4BF2-9F58-7677009384C3}" destId="{3738F56F-BA36-434B-B58C-8D485EF3C430}" srcOrd="0" destOrd="0" presId="urn:microsoft.com/office/officeart/2005/8/layout/orgChart1"/>
    <dgm:cxn modelId="{3114735B-CD13-4006-93CB-B4335807C57E}" type="presOf" srcId="{F02A8144-2DA0-4A81-9B76-2C16651C8C64}" destId="{F152739B-2F25-49E7-8760-EC85E8F374F6}" srcOrd="0" destOrd="0" presId="urn:microsoft.com/office/officeart/2005/8/layout/orgChart1"/>
    <dgm:cxn modelId="{D4EFBD5D-443D-4015-A4D3-6E825FCEE670}" type="presOf" srcId="{81CD926B-86DD-4AE8-891F-1EA761D9CB16}" destId="{37C78485-9DF9-4E2F-9A79-20D0A59183F1}" srcOrd="0" destOrd="0" presId="urn:microsoft.com/office/officeart/2005/8/layout/orgChart1"/>
    <dgm:cxn modelId="{AC5BE95D-2795-4A21-9899-F51228CA50C1}" type="presOf" srcId="{0992ABB2-F8DB-4658-AC5F-0F1DE3DB962A}" destId="{07F43EFE-E9C6-46EF-9879-B68628414585}" srcOrd="0" destOrd="0" presId="urn:microsoft.com/office/officeart/2005/8/layout/orgChart1"/>
    <dgm:cxn modelId="{E26B3B5E-FA99-4756-A980-FFD53B48624C}" srcId="{B15DE2A1-4248-436D-AF7F-E619276BEFA7}" destId="{E541C408-B28F-463C-A193-11E927A087A4}" srcOrd="0" destOrd="0" parTransId="{7897056A-2277-4BBB-9242-DFDF60E12183}" sibTransId="{D0719E3C-D252-4BB5-9311-7339069664D0}"/>
    <dgm:cxn modelId="{8CCEBD5E-68DF-49D5-B222-78A2CD209C79}" type="presOf" srcId="{9CD6ED92-FD75-4AF3-B6F9-EC8AA710D8F5}" destId="{3920294F-C694-4925-932E-FF607247D5D3}" srcOrd="1" destOrd="0" presId="urn:microsoft.com/office/officeart/2005/8/layout/orgChart1"/>
    <dgm:cxn modelId="{EA1DFA5E-D5EA-448F-A9A3-050054571054}" type="presOf" srcId="{F621E028-200F-4EEF-B81C-78341D4D1C39}" destId="{82BB8643-EE7A-4C3B-96DE-90A6D2242298}" srcOrd="0" destOrd="0" presId="urn:microsoft.com/office/officeart/2005/8/layout/orgChart1"/>
    <dgm:cxn modelId="{45AC3A5F-96D1-40E9-BE4C-F0C0AA0A5A79}" type="presOf" srcId="{3A1361DE-15D4-4D77-9511-0ECD6F436875}" destId="{655388C0-F769-4DB8-B9AB-E0495609623D}" srcOrd="1" destOrd="0" presId="urn:microsoft.com/office/officeart/2005/8/layout/orgChart1"/>
    <dgm:cxn modelId="{C8C4B861-589E-4987-85C4-9439AE77FCC7}" type="presOf" srcId="{E5D7EFDB-AD19-45FF-AB0E-26FEDBC7F2A6}" destId="{A0F6C460-5DE6-4C2A-A34F-A257D046A47D}" srcOrd="0" destOrd="0" presId="urn:microsoft.com/office/officeart/2005/8/layout/orgChart1"/>
    <dgm:cxn modelId="{F880E641-AF49-4CC0-9257-A2C50A96E259}" srcId="{9CD6ED92-FD75-4AF3-B6F9-EC8AA710D8F5}" destId="{5770E59D-63CD-4FDC-9871-F1F07ED00EB5}" srcOrd="0" destOrd="0" parTransId="{82BE8713-E9A9-42B2-8110-D5E2167FF1B5}" sibTransId="{05B12985-7264-408B-94A9-5F5FECBDDB4E}"/>
    <dgm:cxn modelId="{0B505362-A20F-47C0-9CC5-360767F09097}" type="presOf" srcId="{5770E59D-63CD-4FDC-9871-F1F07ED00EB5}" destId="{DA2FC0F8-87AB-462F-AEC0-593FFEDB6773}" srcOrd="0" destOrd="0" presId="urn:microsoft.com/office/officeart/2005/8/layout/orgChart1"/>
    <dgm:cxn modelId="{C1BFE462-9B34-45D7-ADAB-094C68819C51}" type="presOf" srcId="{B15DE2A1-4248-436D-AF7F-E619276BEFA7}" destId="{1B6633F2-DD73-4476-8E7A-2B944827CAEB}" srcOrd="0" destOrd="0" presId="urn:microsoft.com/office/officeart/2005/8/layout/orgChart1"/>
    <dgm:cxn modelId="{FEE15E44-42F5-4D30-8379-63DF4A7BADA8}" srcId="{1A17A280-CF65-4BF2-9F58-7677009384C3}" destId="{17164990-90AE-4309-9F9C-E39FDEC6924B}" srcOrd="2" destOrd="0" parTransId="{7A48CB25-8C54-491A-A50A-761F16983D0C}" sibTransId="{25214186-32A3-4C5F-8DAD-ABC2D589A34D}"/>
    <dgm:cxn modelId="{0589C444-AB0C-407A-9AC6-214F7DC822E0}" type="presOf" srcId="{458C7036-E34C-4987-8F36-DD276ADC28D8}" destId="{E0D7C74B-7383-4426-81E9-B0286FC15202}" srcOrd="0" destOrd="0" presId="urn:microsoft.com/office/officeart/2005/8/layout/orgChart1"/>
    <dgm:cxn modelId="{07EA6A45-8B04-49CC-907D-21F1F795E391}" type="presOf" srcId="{13B0BAC9-BB9E-4006-A606-95AEDC69BABE}" destId="{3A425C85-456A-4441-A8F9-85FA3E10611D}" srcOrd="1" destOrd="0" presId="urn:microsoft.com/office/officeart/2005/8/layout/orgChart1"/>
    <dgm:cxn modelId="{DB7A7865-00EC-452D-8DE3-2B02986109A5}" type="presOf" srcId="{7355FDD0-FCD6-48D6-9915-AA4DE669A3F5}" destId="{C9AEDBEC-F2CE-4719-928E-4DC41659B0FF}" srcOrd="1" destOrd="0" presId="urn:microsoft.com/office/officeart/2005/8/layout/orgChart1"/>
    <dgm:cxn modelId="{CB610D66-193F-43B8-ADBF-9608397B751C}" srcId="{79906AE2-CDC5-44A8-B189-70703F0B600D}" destId="{30C2DBB5-FF1A-4B31-A605-0038EF732E70}" srcOrd="0" destOrd="0" parTransId="{042F2B56-478B-4A9D-B339-ED99572BD008}" sibTransId="{BD3AD924-FB51-40FA-9FC7-39185EC2B4EE}"/>
    <dgm:cxn modelId="{92089D46-5EC3-495C-A65F-40CDF5275815}" srcId="{1A17A280-CF65-4BF2-9F58-7677009384C3}" destId="{02014D20-373A-4D79-9887-3DB16EFCAB9B}" srcOrd="0" destOrd="0" parTransId="{8746137D-48A9-4014-A1F9-2A253E2BDD0A}" sibTransId="{21CB3733-DD0F-4234-BCB9-CBA83155600B}"/>
    <dgm:cxn modelId="{0D44F166-DF20-41F0-B30A-8FF6E4E2EE66}" type="presOf" srcId="{1E1C593C-1DE9-4E69-AA20-3D941F225B12}" destId="{E049B4B0-6399-4292-BD38-D413FFCB6395}" srcOrd="0" destOrd="0" presId="urn:microsoft.com/office/officeart/2005/8/layout/orgChart1"/>
    <dgm:cxn modelId="{A2607347-7EF1-4B24-8420-992F023C674B}" type="presOf" srcId="{40B1E693-1CEE-4C6D-BBF1-609E70F91410}" destId="{B3DA17D9-432E-4980-9EEC-00BEDBCF2950}" srcOrd="0" destOrd="0" presId="urn:microsoft.com/office/officeart/2005/8/layout/orgChart1"/>
    <dgm:cxn modelId="{7891A367-8BBD-40F3-A326-35E602C2D995}" type="presOf" srcId="{9BB58A88-20AE-4A95-A6F1-A968783D2AB3}" destId="{99CA0BE2-A7ED-4809-ABD0-DDFEB06D38AE}" srcOrd="1" destOrd="0" presId="urn:microsoft.com/office/officeart/2005/8/layout/orgChart1"/>
    <dgm:cxn modelId="{AAE60B48-E019-412E-994A-D0A2D0683A4E}" type="presOf" srcId="{79906AE2-CDC5-44A8-B189-70703F0B600D}" destId="{5B17259D-0608-41D3-BC19-F0D24A4FF925}" srcOrd="0" destOrd="0" presId="urn:microsoft.com/office/officeart/2005/8/layout/orgChart1"/>
    <dgm:cxn modelId="{0F5BC669-2459-49D0-AB8C-35FE1B7F728F}" type="presOf" srcId="{9AF6C671-EDF3-400A-BCFF-C1A9276F90FC}" destId="{9C905CA5-10D8-4F04-A0F1-0F9D9008B6C9}" srcOrd="0" destOrd="0" presId="urn:microsoft.com/office/officeart/2005/8/layout/orgChart1"/>
    <dgm:cxn modelId="{035A916A-A701-4293-8661-89B8346BA596}" srcId="{4F706629-3B5A-42A7-95BD-CDAF79F0124C}" destId="{13B0BAC9-BB9E-4006-A606-95AEDC69BABE}" srcOrd="4" destOrd="0" parTransId="{9DE69D78-18AA-4BEF-AC92-3AFFB9FA14D3}" sibTransId="{477165AA-7255-4526-9591-9540937FA265}"/>
    <dgm:cxn modelId="{CF29974A-1619-406A-8201-BB22A4554E75}" type="presOf" srcId="{4F706629-3B5A-42A7-95BD-CDAF79F0124C}" destId="{8BFBD6CA-EE25-425F-B530-51853160CEE1}" srcOrd="1" destOrd="0" presId="urn:microsoft.com/office/officeart/2005/8/layout/orgChart1"/>
    <dgm:cxn modelId="{F24CA94C-3CC7-4835-BACC-E00F7A159E13}" srcId="{4F706629-3B5A-42A7-95BD-CDAF79F0124C}" destId="{1A17A280-CF65-4BF2-9F58-7677009384C3}" srcOrd="2" destOrd="0" parTransId="{FC312BDD-6207-4126-BF08-60B420D725D9}" sibTransId="{E90586A8-7FB4-4E4E-B97C-772BD1516D8F}"/>
    <dgm:cxn modelId="{5FFF346D-4CA7-431D-9770-4975E8985475}" type="presOf" srcId="{30A926C1-16AF-4617-8729-6AEB3356EE51}" destId="{47FD7B8A-3A1A-4E56-B36D-9A412BF7207C}" srcOrd="0" destOrd="0" presId="urn:microsoft.com/office/officeart/2005/8/layout/orgChart1"/>
    <dgm:cxn modelId="{A899D36D-FB17-4D38-83B5-9D5824F9525B}" type="presOf" srcId="{79906AE2-CDC5-44A8-B189-70703F0B600D}" destId="{A1816D55-4597-4BAB-B95B-C583FCD55531}" srcOrd="1" destOrd="0" presId="urn:microsoft.com/office/officeart/2005/8/layout/orgChart1"/>
    <dgm:cxn modelId="{F5AB5E6E-1F55-415B-A9A5-5686BC96634E}" type="presOf" srcId="{1A17A280-CF65-4BF2-9F58-7677009384C3}" destId="{2E32C048-22BE-4848-A101-FA98F9DEB7B6}" srcOrd="1" destOrd="0" presId="urn:microsoft.com/office/officeart/2005/8/layout/orgChart1"/>
    <dgm:cxn modelId="{481A404F-06CB-40A8-BB6E-D39FB433DBEE}" srcId="{3A1361DE-15D4-4D77-9511-0ECD6F436875}" destId="{A0587F12-EAD7-4D62-89E3-54A6153D93CD}" srcOrd="4" destOrd="0" parTransId="{E73D39C2-9274-4477-8843-EE46CF9A0726}" sibTransId="{AE9F8152-B0F5-4839-8D0B-F076004F0DBC}"/>
    <dgm:cxn modelId="{8C8E6372-23B0-49EA-BCAA-742A994B7B67}" type="presOf" srcId="{FC312BDD-6207-4126-BF08-60B420D725D9}" destId="{C1B1FEDF-8071-42AE-A935-C06E0A959EBE}" srcOrd="0" destOrd="0" presId="urn:microsoft.com/office/officeart/2005/8/layout/orgChart1"/>
    <dgm:cxn modelId="{80927072-5E78-4CDC-93B8-BC165D79B323}" type="presOf" srcId="{31B39E32-D1AE-426E-8276-C7FB647E64D7}" destId="{6E1A0B20-0568-42A8-95AC-F941D2850DFB}" srcOrd="0" destOrd="0" presId="urn:microsoft.com/office/officeart/2005/8/layout/orgChart1"/>
    <dgm:cxn modelId="{8D8ED275-8386-4A9A-8263-D39A236035F5}" type="presOf" srcId="{9CD6ED92-FD75-4AF3-B6F9-EC8AA710D8F5}" destId="{DC1698E8-772B-4CF1-AAA6-DF4E65B2036F}" srcOrd="0" destOrd="0" presId="urn:microsoft.com/office/officeart/2005/8/layout/orgChart1"/>
    <dgm:cxn modelId="{CCEE1976-334C-4CBB-AC04-8C57C35B98BE}" type="presOf" srcId="{7A48CB25-8C54-491A-A50A-761F16983D0C}" destId="{DE9391FA-CE19-4AED-B9FC-D4F0444C3791}" srcOrd="0" destOrd="0" presId="urn:microsoft.com/office/officeart/2005/8/layout/orgChart1"/>
    <dgm:cxn modelId="{801E2476-08C0-4CD3-B8DB-19770091222A}" srcId="{3A1361DE-15D4-4D77-9511-0ECD6F436875}" destId="{13F179E9-8A01-4798-B555-6385EAF36449}" srcOrd="5" destOrd="0" parTransId="{1E1C593C-1DE9-4E69-AA20-3D941F225B12}" sibTransId="{FC4F6934-6335-4A71-B34E-2BB09B539D0C}"/>
    <dgm:cxn modelId="{9CB3BC76-9A8F-4101-B953-3502D0F558DC}" srcId="{9CD6ED92-FD75-4AF3-B6F9-EC8AA710D8F5}" destId="{9BEC76F9-F52E-4433-8107-7A702E0B593A}" srcOrd="1" destOrd="0" parTransId="{5C1AA477-74BD-4347-9414-68F4AB95180D}" sibTransId="{96AAC04B-DC0C-48FE-962A-6AEBEDD0B4A8}"/>
    <dgm:cxn modelId="{59057F58-DA84-4CE1-A2F9-B9DC8AC9CD6B}" type="presOf" srcId="{40BC9715-D5ED-4439-8AFD-1EFB3053FD67}" destId="{AC2D6CC2-D55A-4D83-A157-2808454054F1}" srcOrd="0" destOrd="0" presId="urn:microsoft.com/office/officeart/2005/8/layout/orgChart1"/>
    <dgm:cxn modelId="{56DEFB58-15D0-4036-B7B3-816F5F5A5C96}" type="presOf" srcId="{BE9F4489-61DE-4E21-8466-C58F659B20EB}" destId="{256C9800-EC49-4C2C-8A9F-F4DFFEB5B57F}" srcOrd="0" destOrd="0" presId="urn:microsoft.com/office/officeart/2005/8/layout/orgChart1"/>
    <dgm:cxn modelId="{0565D379-8577-44F1-BBD7-3D2881BBF6E3}" type="presOf" srcId="{9F628B97-7305-415D-9BDE-311EEFE838E9}" destId="{5CD3EF55-AAB5-4343-8418-698E60D28D5F}" srcOrd="0" destOrd="0" presId="urn:microsoft.com/office/officeart/2005/8/layout/orgChart1"/>
    <dgm:cxn modelId="{4E09747B-DA3F-4849-AEF5-BB56473471DF}" type="presOf" srcId="{7897056A-2277-4BBB-9242-DFDF60E12183}" destId="{F4258529-B320-496D-8657-D9C756F45843}" srcOrd="0" destOrd="0" presId="urn:microsoft.com/office/officeart/2005/8/layout/orgChart1"/>
    <dgm:cxn modelId="{E883BF7B-2092-4175-8603-10E95ADBB6BB}" type="presOf" srcId="{13F179E9-8A01-4798-B555-6385EAF36449}" destId="{161F08A5-624A-4B89-AFB6-25A0843D7028}" srcOrd="1" destOrd="0" presId="urn:microsoft.com/office/officeart/2005/8/layout/orgChart1"/>
    <dgm:cxn modelId="{9EA1A47E-6182-4CCB-90AB-658585F422E1}" type="presOf" srcId="{9DE69D78-18AA-4BEF-AC92-3AFFB9FA14D3}" destId="{F88C4DB4-2F9A-41DC-9636-1969AA9F5921}" srcOrd="0" destOrd="0" presId="urn:microsoft.com/office/officeart/2005/8/layout/orgChart1"/>
    <dgm:cxn modelId="{3E4EFD7F-5A47-450A-AB3F-41EE1035D5C6}" srcId="{9CD6ED92-FD75-4AF3-B6F9-EC8AA710D8F5}" destId="{D1CA8D4B-1C74-4411-BB89-9AD8AE3602C5}" srcOrd="4" destOrd="0" parTransId="{572F1BAF-4672-4CE9-B700-F0CD1DC3CD89}" sibTransId="{9ECEE3F2-C9BA-4055-9D6A-5D19D2309C45}"/>
    <dgm:cxn modelId="{31B29780-2FAC-4326-94F8-25065C10EB19}" type="presOf" srcId="{40713A56-461F-438B-8F50-66D94A742850}" destId="{3E25D8A3-3ADD-416D-84B3-FC2BA60D7833}" srcOrd="0" destOrd="0" presId="urn:microsoft.com/office/officeart/2005/8/layout/orgChart1"/>
    <dgm:cxn modelId="{A1EBA680-48A3-4187-B4FD-E30951348702}" type="presOf" srcId="{796A48E6-876A-4BC4-AF25-129A077AD029}" destId="{C506D87D-2D2C-4A19-AA19-8070A38616DC}" srcOrd="0" destOrd="0" presId="urn:microsoft.com/office/officeart/2005/8/layout/orgChart1"/>
    <dgm:cxn modelId="{81BBD180-1540-410B-B12A-1A00F3204950}" type="presOf" srcId="{13B0BAC9-BB9E-4006-A606-95AEDC69BABE}" destId="{6F22A782-CB09-4909-A6C0-6F6FAC2C0F33}" srcOrd="0" destOrd="0" presId="urn:microsoft.com/office/officeart/2005/8/layout/orgChart1"/>
    <dgm:cxn modelId="{9874EE83-E87D-4013-B15C-BF92A0CB3FBA}" type="presOf" srcId="{5770E59D-63CD-4FDC-9871-F1F07ED00EB5}" destId="{533F155D-1E7E-40A0-8384-23C25015D998}" srcOrd="1" destOrd="0" presId="urn:microsoft.com/office/officeart/2005/8/layout/orgChart1"/>
    <dgm:cxn modelId="{7F673384-4342-4D03-A537-8880F540F111}" type="presOf" srcId="{796A48E6-876A-4BC4-AF25-129A077AD029}" destId="{F339A598-E8AE-406B-9FB1-947D9727AE66}" srcOrd="1" destOrd="0" presId="urn:microsoft.com/office/officeart/2005/8/layout/orgChart1"/>
    <dgm:cxn modelId="{FB351685-ABAD-4AFD-977D-50EBEF5D6D2C}" srcId="{79906AE2-CDC5-44A8-B189-70703F0B600D}" destId="{E4EDC9E5-38CF-457B-8215-15F9D07B755D}" srcOrd="2" destOrd="0" parTransId="{40713A56-461F-438B-8F50-66D94A742850}" sibTransId="{D816B0BE-BA61-4161-A471-60F34B90C54A}"/>
    <dgm:cxn modelId="{FF6E9488-C0C1-48C2-971D-0C04AB7F1A02}" type="presOf" srcId="{458C7036-E34C-4987-8F36-DD276ADC28D8}" destId="{28C5085E-1B9B-4351-B5A2-13718F877C41}" srcOrd="1" destOrd="0" presId="urn:microsoft.com/office/officeart/2005/8/layout/orgChart1"/>
    <dgm:cxn modelId="{8F627D89-512D-4257-8C3D-03D248D4DC4E}" srcId="{9CD6ED92-FD75-4AF3-B6F9-EC8AA710D8F5}" destId="{9AF6C671-EDF3-400A-BCFF-C1A9276F90FC}" srcOrd="3" destOrd="0" parTransId="{AB4E1661-77BD-47D6-AC22-1FD25251AF95}" sibTransId="{4C7C2886-3BB4-4BA9-9299-6C6318D8E7D6}"/>
    <dgm:cxn modelId="{EFB5CC8B-0BD4-46E7-835E-BD3F4ADA68D1}" type="presOf" srcId="{E541C408-B28F-463C-A193-11E927A087A4}" destId="{DEA754EC-101B-4607-8A62-78CC03ACADC2}" srcOrd="0" destOrd="0" presId="urn:microsoft.com/office/officeart/2005/8/layout/orgChart1"/>
    <dgm:cxn modelId="{1BC18B90-00DD-4923-8A25-2957FE910F05}" type="presOf" srcId="{3A1361DE-15D4-4D77-9511-0ECD6F436875}" destId="{C331CBE8-AB2D-4500-864D-5E36898C1BCE}" srcOrd="0" destOrd="0" presId="urn:microsoft.com/office/officeart/2005/8/layout/orgChart1"/>
    <dgm:cxn modelId="{5209389D-865E-434B-9F0F-A4A147EA40DC}" srcId="{B15DE2A1-4248-436D-AF7F-E619276BEFA7}" destId="{16F209AE-90DC-4B4E-8C44-235200F83B96}" srcOrd="1" destOrd="0" parTransId="{110618BD-5653-4D3D-814B-A58ACDE11EAF}" sibTransId="{A0A0E02F-ABAF-4289-9C2F-C4E1ECE977F6}"/>
    <dgm:cxn modelId="{9FE22E9F-AFDA-4324-9C01-DAE0BD6A134E}" type="presOf" srcId="{D1CA8D4B-1C74-4411-BB89-9AD8AE3602C5}" destId="{2CA68FB9-541B-4940-BADC-D923B5386B7F}" srcOrd="1" destOrd="0" presId="urn:microsoft.com/office/officeart/2005/8/layout/orgChart1"/>
    <dgm:cxn modelId="{102E2CA1-42A5-4AD4-BC9D-5CC6FB9F6D75}" type="presOf" srcId="{33090DF0-EAB5-4260-936E-418FD0B1265D}" destId="{B2C53C1D-1A3C-4036-8510-5A1985CF5676}" srcOrd="1" destOrd="0" presId="urn:microsoft.com/office/officeart/2005/8/layout/orgChart1"/>
    <dgm:cxn modelId="{718430A1-4852-43CF-834F-FB0B10E8E095}" srcId="{4F706629-3B5A-42A7-95BD-CDAF79F0124C}" destId="{9CD6ED92-FD75-4AF3-B6F9-EC8AA710D8F5}" srcOrd="0" destOrd="0" parTransId="{30A926C1-16AF-4617-8729-6AEB3356EE51}" sibTransId="{99E61515-684D-4D28-9951-0226989A4C83}"/>
    <dgm:cxn modelId="{E6ACF5A1-DEE4-49BE-B7D9-2011F7F612C2}" type="presOf" srcId="{354399C6-253A-4805-9C8E-9D936CFB3D74}" destId="{AEF58A5D-431A-4872-B7AE-D7D704CDFA29}" srcOrd="0" destOrd="0" presId="urn:microsoft.com/office/officeart/2005/8/layout/orgChart1"/>
    <dgm:cxn modelId="{41C8C5A3-C172-470A-8303-CE5E30E662A7}" type="presOf" srcId="{D711248B-65A9-434F-9552-A238DE8808A8}" destId="{119B7AF3-5105-4EAE-908E-8B3594DF0FDE}" srcOrd="0" destOrd="0" presId="urn:microsoft.com/office/officeart/2005/8/layout/orgChart1"/>
    <dgm:cxn modelId="{E39897AA-AD76-4949-920D-F35A5B356297}" type="presOf" srcId="{110618BD-5653-4D3D-814B-A58ACDE11EAF}" destId="{78E89890-86CE-48B2-ACD1-20EAB4E88D0D}" srcOrd="0" destOrd="0" presId="urn:microsoft.com/office/officeart/2005/8/layout/orgChart1"/>
    <dgm:cxn modelId="{D18425AE-30F6-4F53-A4AE-C9C60833BE39}" type="presOf" srcId="{17164990-90AE-4309-9F9C-E39FDEC6924B}" destId="{6DCD0DF1-6F86-4D80-BBE1-3BAE1A6DB90F}" srcOrd="1" destOrd="0" presId="urn:microsoft.com/office/officeart/2005/8/layout/orgChart1"/>
    <dgm:cxn modelId="{9E673CAF-5FFA-4A91-B61F-73D0B0414571}" type="presOf" srcId="{FA6D3483-692D-4408-931B-4FE6165263E4}" destId="{833323BE-6E62-4DCA-91D9-640740CB24B3}" srcOrd="0" destOrd="0" presId="urn:microsoft.com/office/officeart/2005/8/layout/orgChart1"/>
    <dgm:cxn modelId="{B8CE5CB0-F997-443A-B807-4E6C22EDC4B7}" type="presOf" srcId="{E541C408-B28F-463C-A193-11E927A087A4}" destId="{620C4DB9-1D14-40EB-A3B5-D4D88EDF5358}" srcOrd="1" destOrd="0" presId="urn:microsoft.com/office/officeart/2005/8/layout/orgChart1"/>
    <dgm:cxn modelId="{40640FB3-2B92-4711-8FB2-20AEC380908A}" srcId="{9CD6ED92-FD75-4AF3-B6F9-EC8AA710D8F5}" destId="{A00C769D-8A69-4886-9A4E-6155D5FEEF7C}" srcOrd="6" destOrd="0" parTransId="{56E2CF09-1E5A-4E71-800D-EE91066DC5C8}" sibTransId="{63095156-4768-4ABB-8AEB-89A82E702723}"/>
    <dgm:cxn modelId="{F13172B8-40FF-4281-9480-9A3F2B01BD3B}" type="presOf" srcId="{0004F5B1-3061-458B-BC3D-9443F897F480}" destId="{105E15DC-C145-4030-A5F1-0106D99ADC9C}" srcOrd="0" destOrd="0" presId="urn:microsoft.com/office/officeart/2005/8/layout/orgChart1"/>
    <dgm:cxn modelId="{0AA9B8BA-BB69-421D-8200-BA949072D2D8}" type="presOf" srcId="{57C9BB0A-CBCD-40DA-A523-68C50B1F19E2}" destId="{8EA8659D-3A47-4632-82BB-C74651F511E9}" srcOrd="0" destOrd="0" presId="urn:microsoft.com/office/officeart/2005/8/layout/orgChart1"/>
    <dgm:cxn modelId="{B34C10BD-8D0B-4D7B-966F-4E18B02CBB93}" type="presOf" srcId="{06246C81-8189-48E3-B444-BB7475F66864}" destId="{D8169E92-1CB7-42A8-B52C-539C55FD0BA4}" srcOrd="0" destOrd="0" presId="urn:microsoft.com/office/officeart/2005/8/layout/orgChart1"/>
    <dgm:cxn modelId="{0DA72FBE-9A18-4AB6-8D3E-5C70B7F05F87}" type="presOf" srcId="{9BEC76F9-F52E-4433-8107-7A702E0B593A}" destId="{EAEA55D8-D361-48AC-87C5-E96ACA46A398}" srcOrd="0" destOrd="0" presId="urn:microsoft.com/office/officeart/2005/8/layout/orgChart1"/>
    <dgm:cxn modelId="{1F6731C3-871E-41AC-B23F-5E105EF146E5}" srcId="{4F706629-3B5A-42A7-95BD-CDAF79F0124C}" destId="{79906AE2-CDC5-44A8-B189-70703F0B600D}" srcOrd="3" destOrd="0" parTransId="{0004F5B1-3061-458B-BC3D-9443F897F480}" sibTransId="{EF3989AB-4F7E-4256-89DD-68637E3F0F79}"/>
    <dgm:cxn modelId="{AF23E4C5-A325-4621-B10F-604D6A06AB3C}" srcId="{4F706629-3B5A-42A7-95BD-CDAF79F0124C}" destId="{3A1361DE-15D4-4D77-9511-0ECD6F436875}" srcOrd="1" destOrd="0" parTransId="{E5D7EFDB-AD19-45FF-AB0E-26FEDBC7F2A6}" sibTransId="{FBC12E3C-E1DF-48B6-B4C3-9F10D549C9BD}"/>
    <dgm:cxn modelId="{F790B6C6-B3EB-4C05-9C1E-311B7633A4C9}" type="presOf" srcId="{32A36891-4B54-4488-AA29-D185AA456779}" destId="{89E54461-BE29-4045-A53D-6B8C0EFF2644}" srcOrd="0" destOrd="0" presId="urn:microsoft.com/office/officeart/2005/8/layout/orgChart1"/>
    <dgm:cxn modelId="{D8FAF2C7-3321-4A30-89F4-F4B1C1161CE6}" type="presOf" srcId="{E4EDC9E5-38CF-457B-8215-15F9D07B755D}" destId="{2AFE6BB0-37A7-4568-9C8F-7025DB6FDCA3}" srcOrd="1" destOrd="0" presId="urn:microsoft.com/office/officeart/2005/8/layout/orgChart1"/>
    <dgm:cxn modelId="{EF61C9C8-DDAC-4FFC-94ED-E314B1150E51}" type="presOf" srcId="{FA6D3483-692D-4408-931B-4FE6165263E4}" destId="{0DDBBDC4-05C0-4D88-BACD-ABDCC091B72B}" srcOrd="1" destOrd="0" presId="urn:microsoft.com/office/officeart/2005/8/layout/orgChart1"/>
    <dgm:cxn modelId="{AEFFC6CB-C2E3-4081-A261-354AEAE4B4E9}" srcId="{3A1361DE-15D4-4D77-9511-0ECD6F436875}" destId="{33090DF0-EAB5-4260-936E-418FD0B1265D}" srcOrd="1" destOrd="0" parTransId="{52388ED5-A43D-40D4-BF3B-9DEEC4F04EEB}" sibTransId="{F0A9B15E-EB87-4BEE-A5E5-D23E4C59C924}"/>
    <dgm:cxn modelId="{F3058DCF-CEC5-4BDC-9F7E-5467A7783305}" type="presOf" srcId="{572F1BAF-4672-4CE9-B700-F0CD1DC3CD89}" destId="{9B21E57D-1C39-4595-B2AE-A7D574E00514}" srcOrd="0" destOrd="0" presId="urn:microsoft.com/office/officeart/2005/8/layout/orgChart1"/>
    <dgm:cxn modelId="{F939DCCF-B2ED-478E-95CB-F338C9274005}" type="presOf" srcId="{8D7FECC9-22A2-45F8-9D81-CDE2141E7488}" destId="{4321FC22-81E3-418F-9FE0-38CBCD77AABF}" srcOrd="1" destOrd="0" presId="urn:microsoft.com/office/officeart/2005/8/layout/orgChart1"/>
    <dgm:cxn modelId="{DBAA2FD0-CF54-4A6E-9E80-D37D3FF18EDD}" type="presOf" srcId="{A00C769D-8A69-4886-9A4E-6155D5FEEF7C}" destId="{54956330-9F93-49DF-9F7D-CFA755B93E68}" srcOrd="0" destOrd="0" presId="urn:microsoft.com/office/officeart/2005/8/layout/orgChart1"/>
    <dgm:cxn modelId="{B7800CD7-B262-4F9C-B9E6-51B0FD274AC6}" srcId="{4F706629-3B5A-42A7-95BD-CDAF79F0124C}" destId="{B15DE2A1-4248-436D-AF7F-E619276BEFA7}" srcOrd="5" destOrd="0" parTransId="{0992ABB2-F8DB-4658-AC5F-0F1DE3DB962A}" sibTransId="{B2042D9F-A7C0-4632-AFE9-BD8F54177810}"/>
    <dgm:cxn modelId="{8E788CD8-A890-4D6A-BC41-4F2A194D3875}" type="presOf" srcId="{9AC35492-884C-4A86-B7EC-CF6D785C00AB}" destId="{13D31387-0CC3-42D9-9B6B-3ECFAE397FCA}" srcOrd="0" destOrd="0" presId="urn:microsoft.com/office/officeart/2005/8/layout/orgChart1"/>
    <dgm:cxn modelId="{BAFDB9D8-E19C-40BC-8C29-737819E14054}" type="presOf" srcId="{A00C769D-8A69-4886-9A4E-6155D5FEEF7C}" destId="{B299F4C3-577A-479D-9127-D8A0FB191895}" srcOrd="1" destOrd="0" presId="urn:microsoft.com/office/officeart/2005/8/layout/orgChart1"/>
    <dgm:cxn modelId="{29A0B7DA-1451-49B1-8F35-C1A673914B97}" type="presOf" srcId="{16F209AE-90DC-4B4E-8C44-235200F83B96}" destId="{8F0FDAB8-C913-4406-979B-B67AD56C95F3}" srcOrd="0" destOrd="0" presId="urn:microsoft.com/office/officeart/2005/8/layout/orgChart1"/>
    <dgm:cxn modelId="{CDBE5AE0-E1DC-48F7-8973-871F2CAB659E}" type="presOf" srcId="{30C2DBB5-FF1A-4B31-A605-0038EF732E70}" destId="{B5AE971A-0188-4BFC-9BAC-EC8B0BB4F506}" srcOrd="1" destOrd="0" presId="urn:microsoft.com/office/officeart/2005/8/layout/orgChart1"/>
    <dgm:cxn modelId="{275CCBE2-2847-477B-B303-4AD4E64D17D4}" type="presOf" srcId="{A0587F12-EAD7-4D62-89E3-54A6153D93CD}" destId="{03CC8052-EC0C-48BA-AE64-CA7D000C49C8}" srcOrd="1" destOrd="0" presId="urn:microsoft.com/office/officeart/2005/8/layout/orgChart1"/>
    <dgm:cxn modelId="{B3D59AEA-C625-42C0-A662-DE5EEF96F56F}" type="presOf" srcId="{D1CA8D4B-1C74-4411-BB89-9AD8AE3602C5}" destId="{F339375A-571B-46E0-9BCF-10B20599A32A}" srcOrd="0" destOrd="0" presId="urn:microsoft.com/office/officeart/2005/8/layout/orgChart1"/>
    <dgm:cxn modelId="{E611EDEA-CB72-4EE8-9AB6-DD2FE8A1DDB1}" type="presOf" srcId="{30C2DBB5-FF1A-4B31-A605-0038EF732E70}" destId="{A4FCBB11-592E-445A-A7A3-6DCEE591362D}" srcOrd="0" destOrd="0" presId="urn:microsoft.com/office/officeart/2005/8/layout/orgChart1"/>
    <dgm:cxn modelId="{52FA35EB-F585-4D27-B87E-7DB0A065D211}" type="presOf" srcId="{F621E028-200F-4EEF-B81C-78341D4D1C39}" destId="{9EF8547B-2B04-4418-8E29-08800EAFCB9C}" srcOrd="1" destOrd="0" presId="urn:microsoft.com/office/officeart/2005/8/layout/orgChart1"/>
    <dgm:cxn modelId="{6F67A8EB-99E9-4DC6-BEF0-F75140D1ECB9}" type="presOf" srcId="{9AF6C671-EDF3-400A-BCFF-C1A9276F90FC}" destId="{5938784A-6786-45AA-A223-D0C44F4213E8}" srcOrd="1" destOrd="0" presId="urn:microsoft.com/office/officeart/2005/8/layout/orgChart1"/>
    <dgm:cxn modelId="{A7D2D6EB-9E91-4382-AF92-6EA145119F44}" type="presOf" srcId="{16F209AE-90DC-4B4E-8C44-235200F83B96}" destId="{42497CF5-7703-4229-B171-E503F4198644}" srcOrd="1" destOrd="0" presId="urn:microsoft.com/office/officeart/2005/8/layout/orgChart1"/>
    <dgm:cxn modelId="{15C3DDEC-C5F8-4BA1-A864-3854EAB6B089}" srcId="{3A1361DE-15D4-4D77-9511-0ECD6F436875}" destId="{40BC9715-D5ED-4439-8AFD-1EFB3053FD67}" srcOrd="6" destOrd="0" parTransId="{D711248B-65A9-434F-9552-A238DE8808A8}" sibTransId="{223729A2-0E5F-4D85-967A-C6ABD5F9C2D0}"/>
    <dgm:cxn modelId="{9C39F3ED-7C83-4584-8FD3-091ACA00194B}" type="presOf" srcId="{7355FDD0-FCD6-48D6-9915-AA4DE669A3F5}" destId="{078BA1D6-D0AC-403A-9BB6-90D719304C95}" srcOrd="0" destOrd="0" presId="urn:microsoft.com/office/officeart/2005/8/layout/orgChart1"/>
    <dgm:cxn modelId="{616CF8ED-37EB-4894-B0DB-5F569D6B5103}" type="presOf" srcId="{81CD926B-86DD-4AE8-891F-1EA761D9CB16}" destId="{35EB1EFE-D20C-43F4-96CB-591729F28A08}" srcOrd="1" destOrd="0" presId="urn:microsoft.com/office/officeart/2005/8/layout/orgChart1"/>
    <dgm:cxn modelId="{683088EE-0148-418A-96A1-1847F3994349}" type="presOf" srcId="{A0587F12-EAD7-4D62-89E3-54A6153D93CD}" destId="{146EBF6B-B2EE-432D-8C92-932C9C0E76B3}" srcOrd="0" destOrd="0" presId="urn:microsoft.com/office/officeart/2005/8/layout/orgChart1"/>
    <dgm:cxn modelId="{DA7B2FF2-322F-40C5-9FBB-2DB3074A4446}" type="presOf" srcId="{5C754CE0-A0A5-47AC-9EF6-FEE0E4DBB350}" destId="{E42B7B73-E967-4B79-BC3D-3F50F191349D}" srcOrd="0" destOrd="0" presId="urn:microsoft.com/office/officeart/2005/8/layout/orgChart1"/>
    <dgm:cxn modelId="{742BA1F3-101C-45C1-AC2C-1F2E8244123A}" type="presOf" srcId="{17164990-90AE-4309-9F9C-E39FDEC6924B}" destId="{90120405-F645-4526-9DD3-772057D93D7A}" srcOrd="0" destOrd="0" presId="urn:microsoft.com/office/officeart/2005/8/layout/orgChart1"/>
    <dgm:cxn modelId="{FFF4EFF3-9064-4F59-A399-722B43D6D5B3}" type="presOf" srcId="{5626FA9D-7819-4BB5-821D-050A1D8CBB6F}" destId="{8E7E29F4-1086-4926-B205-07DCA084D8D2}" srcOrd="0" destOrd="0" presId="urn:microsoft.com/office/officeart/2005/8/layout/orgChart1"/>
    <dgm:cxn modelId="{6F94D7F5-7668-400A-B510-E62DB3806833}" type="presOf" srcId="{40BC9715-D5ED-4439-8AFD-1EFB3053FD67}" destId="{D58CC4D8-A40C-4D9D-963C-64136D768CFD}" srcOrd="1" destOrd="0" presId="urn:microsoft.com/office/officeart/2005/8/layout/orgChart1"/>
    <dgm:cxn modelId="{407E11F6-CE88-4546-B52D-5E41D375A76B}" type="presOf" srcId="{8D7FECC9-22A2-45F8-9D81-CDE2141E7488}" destId="{63A59E8D-B040-4D3C-9ACE-FE13B88C13EF}" srcOrd="0" destOrd="0" presId="urn:microsoft.com/office/officeart/2005/8/layout/orgChart1"/>
    <dgm:cxn modelId="{5CB9A1F8-07C2-4ABF-9B37-5F8BEFD4FD17}" srcId="{3A1361DE-15D4-4D77-9511-0ECD6F436875}" destId="{7355FDD0-FCD6-48D6-9915-AA4DE669A3F5}" srcOrd="0" destOrd="0" parTransId="{9AC35492-884C-4A86-B7EC-CF6D785C00AB}" sibTransId="{81134237-5380-4395-ABA9-49DAC58DDACB}"/>
    <dgm:cxn modelId="{7510B3F9-5364-4638-90F8-9ED2CCC18A40}" type="presOf" srcId="{4F706629-3B5A-42A7-95BD-CDAF79F0124C}" destId="{3ACAED5E-3DE0-482B-AB7E-87BE6098197C}" srcOrd="0" destOrd="0" presId="urn:microsoft.com/office/officeart/2005/8/layout/orgChart1"/>
    <dgm:cxn modelId="{480498FA-F700-4590-BCBF-EAC70B73E2CD}" type="presOf" srcId="{33090DF0-EAB5-4260-936E-418FD0B1265D}" destId="{A5D57E41-9FF4-4123-8DA8-D9CAE456B158}" srcOrd="0" destOrd="0" presId="urn:microsoft.com/office/officeart/2005/8/layout/orgChart1"/>
    <dgm:cxn modelId="{EC7370FC-D246-473D-B4F1-C577A3C130A4}" type="presOf" srcId="{354399C6-253A-4805-9C8E-9D936CFB3D74}" destId="{EE293CC1-D73B-4FBB-8B10-3B41D516736F}" srcOrd="1" destOrd="0" presId="urn:microsoft.com/office/officeart/2005/8/layout/orgChart1"/>
    <dgm:cxn modelId="{22A157FF-C2EE-4191-BA04-0601D41EC95E}" srcId="{13B0BAC9-BB9E-4006-A606-95AEDC69BABE}" destId="{796A48E6-876A-4BC4-AF25-129A077AD029}" srcOrd="1" destOrd="0" parTransId="{31B39E32-D1AE-426E-8276-C7FB647E64D7}" sibTransId="{8E49FCAD-AF8D-4735-A312-0FF0503A993F}"/>
    <dgm:cxn modelId="{E0AB338A-0180-4730-83E1-902C226377B7}" type="presParOf" srcId="{5B5FC3E0-602B-4A14-8622-52E61B7A3DF3}" destId="{83AFF851-9305-49E8-B966-F4DBEC8E43B1}" srcOrd="0" destOrd="0" presId="urn:microsoft.com/office/officeart/2005/8/layout/orgChart1"/>
    <dgm:cxn modelId="{B7991BC8-6313-4F70-9AA5-FD0B96D8791C}" type="presParOf" srcId="{83AFF851-9305-49E8-B966-F4DBEC8E43B1}" destId="{69BF10C0-9598-418A-A5F0-A4D00670EF7E}" srcOrd="0" destOrd="0" presId="urn:microsoft.com/office/officeart/2005/8/layout/orgChart1"/>
    <dgm:cxn modelId="{FA70FAAF-E822-4C01-B7C2-6F79A8A506A0}" type="presParOf" srcId="{69BF10C0-9598-418A-A5F0-A4D00670EF7E}" destId="{3ACAED5E-3DE0-482B-AB7E-87BE6098197C}" srcOrd="0" destOrd="0" presId="urn:microsoft.com/office/officeart/2005/8/layout/orgChart1"/>
    <dgm:cxn modelId="{88001C93-5CD6-4251-A1A1-B173784F33AE}" type="presParOf" srcId="{69BF10C0-9598-418A-A5F0-A4D00670EF7E}" destId="{8BFBD6CA-EE25-425F-B530-51853160CEE1}" srcOrd="1" destOrd="0" presId="urn:microsoft.com/office/officeart/2005/8/layout/orgChart1"/>
    <dgm:cxn modelId="{84A4017D-F696-46B6-B641-9BD6A4820514}" type="presParOf" srcId="{83AFF851-9305-49E8-B966-F4DBEC8E43B1}" destId="{0BFCBC33-D050-4286-A1C2-CE4B077F0DCD}" srcOrd="1" destOrd="0" presId="urn:microsoft.com/office/officeart/2005/8/layout/orgChart1"/>
    <dgm:cxn modelId="{6E28D935-5BE4-4B75-B3E8-814E7F7584AE}" type="presParOf" srcId="{0BFCBC33-D050-4286-A1C2-CE4B077F0DCD}" destId="{47FD7B8A-3A1A-4E56-B36D-9A412BF7207C}" srcOrd="0" destOrd="0" presId="urn:microsoft.com/office/officeart/2005/8/layout/orgChart1"/>
    <dgm:cxn modelId="{36F55ABD-AEF9-4B09-A3E6-60E6B8294110}" type="presParOf" srcId="{0BFCBC33-D050-4286-A1C2-CE4B077F0DCD}" destId="{97A70878-F719-48A1-B7A7-B85CB3258248}" srcOrd="1" destOrd="0" presId="urn:microsoft.com/office/officeart/2005/8/layout/orgChart1"/>
    <dgm:cxn modelId="{F1EA96E2-849A-466A-9C34-3A43373FC7AA}" type="presParOf" srcId="{97A70878-F719-48A1-B7A7-B85CB3258248}" destId="{9A46461E-84B3-4E8D-B477-567B6CA51236}" srcOrd="0" destOrd="0" presId="urn:microsoft.com/office/officeart/2005/8/layout/orgChart1"/>
    <dgm:cxn modelId="{3C26C8D9-C364-4205-BD3D-33B08696052A}" type="presParOf" srcId="{9A46461E-84B3-4E8D-B477-567B6CA51236}" destId="{DC1698E8-772B-4CF1-AAA6-DF4E65B2036F}" srcOrd="0" destOrd="0" presId="urn:microsoft.com/office/officeart/2005/8/layout/orgChart1"/>
    <dgm:cxn modelId="{BEFF61B3-4F73-4DE6-B4EA-BB692B95F0AD}" type="presParOf" srcId="{9A46461E-84B3-4E8D-B477-567B6CA51236}" destId="{3920294F-C694-4925-932E-FF607247D5D3}" srcOrd="1" destOrd="0" presId="urn:microsoft.com/office/officeart/2005/8/layout/orgChart1"/>
    <dgm:cxn modelId="{22C870E7-690C-420A-AEDF-BCF0D23B7F5F}" type="presParOf" srcId="{97A70878-F719-48A1-B7A7-B85CB3258248}" destId="{398D9EBF-B8A2-478D-B3E7-9443AD4BD611}" srcOrd="1" destOrd="0" presId="urn:microsoft.com/office/officeart/2005/8/layout/orgChart1"/>
    <dgm:cxn modelId="{1CEA58E0-3EAE-43B9-8966-3C706FAEFE71}" type="presParOf" srcId="{398D9EBF-B8A2-478D-B3E7-9443AD4BD611}" destId="{3EDFBCFD-3F88-4634-9620-B99227736F66}" srcOrd="0" destOrd="0" presId="urn:microsoft.com/office/officeart/2005/8/layout/orgChart1"/>
    <dgm:cxn modelId="{91826860-4C60-4FD4-80F3-4C26A7693877}" type="presParOf" srcId="{398D9EBF-B8A2-478D-B3E7-9443AD4BD611}" destId="{01AAF0DC-7CFE-4AFF-9940-CCF581B28F63}" srcOrd="1" destOrd="0" presId="urn:microsoft.com/office/officeart/2005/8/layout/orgChart1"/>
    <dgm:cxn modelId="{26884DE2-7C73-4B10-AEC6-25D5B24ABF5B}" type="presParOf" srcId="{01AAF0DC-7CFE-4AFF-9940-CCF581B28F63}" destId="{01FA8179-70FA-4CE0-90C4-EC6BEBE132BA}" srcOrd="0" destOrd="0" presId="urn:microsoft.com/office/officeart/2005/8/layout/orgChart1"/>
    <dgm:cxn modelId="{80E34065-8C8D-4192-B2C6-4B9CD4D64820}" type="presParOf" srcId="{01FA8179-70FA-4CE0-90C4-EC6BEBE132BA}" destId="{DA2FC0F8-87AB-462F-AEC0-593FFEDB6773}" srcOrd="0" destOrd="0" presId="urn:microsoft.com/office/officeart/2005/8/layout/orgChart1"/>
    <dgm:cxn modelId="{C8C87DF2-AAAF-4516-92BF-5F61EE147E62}" type="presParOf" srcId="{01FA8179-70FA-4CE0-90C4-EC6BEBE132BA}" destId="{533F155D-1E7E-40A0-8384-23C25015D998}" srcOrd="1" destOrd="0" presId="urn:microsoft.com/office/officeart/2005/8/layout/orgChart1"/>
    <dgm:cxn modelId="{030514EF-5EFE-431B-A2F5-0DBE65D51351}" type="presParOf" srcId="{01AAF0DC-7CFE-4AFF-9940-CCF581B28F63}" destId="{957777F1-C5F5-4926-AA0A-74406F55F748}" srcOrd="1" destOrd="0" presId="urn:microsoft.com/office/officeart/2005/8/layout/orgChart1"/>
    <dgm:cxn modelId="{770A5C06-314D-4E4F-AFF7-C7CC10ED4B8B}" type="presParOf" srcId="{01AAF0DC-7CFE-4AFF-9940-CCF581B28F63}" destId="{3F73FC02-A17D-4F89-93E0-92A0A7EF0CD7}" srcOrd="2" destOrd="0" presId="urn:microsoft.com/office/officeart/2005/8/layout/orgChart1"/>
    <dgm:cxn modelId="{4E76FA3D-6063-4D81-BDFA-AA21A8A7E342}" type="presParOf" srcId="{398D9EBF-B8A2-478D-B3E7-9443AD4BD611}" destId="{4568AE57-8C55-46E6-BAAB-31671799D38C}" srcOrd="2" destOrd="0" presId="urn:microsoft.com/office/officeart/2005/8/layout/orgChart1"/>
    <dgm:cxn modelId="{88954C0D-946C-4236-B681-7EABF0B09D47}" type="presParOf" srcId="{398D9EBF-B8A2-478D-B3E7-9443AD4BD611}" destId="{BD3A0BE9-D996-42C7-8943-2D486A09BBEF}" srcOrd="3" destOrd="0" presId="urn:microsoft.com/office/officeart/2005/8/layout/orgChart1"/>
    <dgm:cxn modelId="{691260CC-5679-4D6E-8A53-E3A0F8F88E14}" type="presParOf" srcId="{BD3A0BE9-D996-42C7-8943-2D486A09BBEF}" destId="{19ECAAD3-3892-4E7B-81CE-2F852173AFFD}" srcOrd="0" destOrd="0" presId="urn:microsoft.com/office/officeart/2005/8/layout/orgChart1"/>
    <dgm:cxn modelId="{A54A2721-FFE5-4DA0-8F89-5312A89CA47A}" type="presParOf" srcId="{19ECAAD3-3892-4E7B-81CE-2F852173AFFD}" destId="{EAEA55D8-D361-48AC-87C5-E96ACA46A398}" srcOrd="0" destOrd="0" presId="urn:microsoft.com/office/officeart/2005/8/layout/orgChart1"/>
    <dgm:cxn modelId="{D82605E5-66F5-4CEF-945F-0B168E24136C}" type="presParOf" srcId="{19ECAAD3-3892-4E7B-81CE-2F852173AFFD}" destId="{ED3F9AA5-C898-4FB1-94A9-E2820738A83C}" srcOrd="1" destOrd="0" presId="urn:microsoft.com/office/officeart/2005/8/layout/orgChart1"/>
    <dgm:cxn modelId="{FC89819E-154E-4FAB-ACEB-45DE86589C96}" type="presParOf" srcId="{BD3A0BE9-D996-42C7-8943-2D486A09BBEF}" destId="{E3C53AAB-1000-4CC0-ADC4-7E71B4DF6310}" srcOrd="1" destOrd="0" presId="urn:microsoft.com/office/officeart/2005/8/layout/orgChart1"/>
    <dgm:cxn modelId="{3FD5B84C-DC7F-4BD6-B4DB-54D5D0AAD56E}" type="presParOf" srcId="{BD3A0BE9-D996-42C7-8943-2D486A09BBEF}" destId="{EDD648B8-D10E-4F5B-8C18-D4DE986DD6C2}" srcOrd="2" destOrd="0" presId="urn:microsoft.com/office/officeart/2005/8/layout/orgChart1"/>
    <dgm:cxn modelId="{80276F86-C947-4554-A978-FD345D76A82F}" type="presParOf" srcId="{398D9EBF-B8A2-478D-B3E7-9443AD4BD611}" destId="{F152739B-2F25-49E7-8760-EC85E8F374F6}" srcOrd="4" destOrd="0" presId="urn:microsoft.com/office/officeart/2005/8/layout/orgChart1"/>
    <dgm:cxn modelId="{317DB3C3-2827-422A-88D9-09B436293412}" type="presParOf" srcId="{398D9EBF-B8A2-478D-B3E7-9443AD4BD611}" destId="{A855117E-5AED-4C27-837B-9BF63F7451FD}" srcOrd="5" destOrd="0" presId="urn:microsoft.com/office/officeart/2005/8/layout/orgChart1"/>
    <dgm:cxn modelId="{52D04B71-ACB5-49BC-ADE3-6E01EFE5CFA8}" type="presParOf" srcId="{A855117E-5AED-4C27-837B-9BF63F7451FD}" destId="{020EBA4C-5426-4523-AB82-1A5D4FEE60EB}" srcOrd="0" destOrd="0" presId="urn:microsoft.com/office/officeart/2005/8/layout/orgChart1"/>
    <dgm:cxn modelId="{745B4523-FB61-497C-8731-33EE903B3572}" type="presParOf" srcId="{020EBA4C-5426-4523-AB82-1A5D4FEE60EB}" destId="{833323BE-6E62-4DCA-91D9-640740CB24B3}" srcOrd="0" destOrd="0" presId="urn:microsoft.com/office/officeart/2005/8/layout/orgChart1"/>
    <dgm:cxn modelId="{ED28D2B4-2998-483F-810D-5944A797F259}" type="presParOf" srcId="{020EBA4C-5426-4523-AB82-1A5D4FEE60EB}" destId="{0DDBBDC4-05C0-4D88-BACD-ABDCC091B72B}" srcOrd="1" destOrd="0" presId="urn:microsoft.com/office/officeart/2005/8/layout/orgChart1"/>
    <dgm:cxn modelId="{FD1B43BC-1C96-493C-99B8-968345C7CB17}" type="presParOf" srcId="{A855117E-5AED-4C27-837B-9BF63F7451FD}" destId="{3401EF02-B499-45C4-9026-32C9A161AE09}" srcOrd="1" destOrd="0" presId="urn:microsoft.com/office/officeart/2005/8/layout/orgChart1"/>
    <dgm:cxn modelId="{7BF72997-5D80-4F2B-9A1F-EC79C53C3F2D}" type="presParOf" srcId="{A855117E-5AED-4C27-837B-9BF63F7451FD}" destId="{FF1769FA-581F-465E-8AA6-74B679B57ECD}" srcOrd="2" destOrd="0" presId="urn:microsoft.com/office/officeart/2005/8/layout/orgChart1"/>
    <dgm:cxn modelId="{E86F0E0F-F752-4522-9940-59674B0DD356}" type="presParOf" srcId="{398D9EBF-B8A2-478D-B3E7-9443AD4BD611}" destId="{C0032A54-61C1-4496-843D-D43B7D5F036E}" srcOrd="6" destOrd="0" presId="urn:microsoft.com/office/officeart/2005/8/layout/orgChart1"/>
    <dgm:cxn modelId="{825CD1C7-CB3E-432E-8645-81D3E5306DDD}" type="presParOf" srcId="{398D9EBF-B8A2-478D-B3E7-9443AD4BD611}" destId="{CCF7C17D-EEBF-4020-A24B-5A5AA6A7957B}" srcOrd="7" destOrd="0" presId="urn:microsoft.com/office/officeart/2005/8/layout/orgChart1"/>
    <dgm:cxn modelId="{7C1F9DB2-34A1-4D18-9F6D-B148E5992E48}" type="presParOf" srcId="{CCF7C17D-EEBF-4020-A24B-5A5AA6A7957B}" destId="{5223C8B8-7B38-4642-B636-C3F87372C4F6}" srcOrd="0" destOrd="0" presId="urn:microsoft.com/office/officeart/2005/8/layout/orgChart1"/>
    <dgm:cxn modelId="{FD025191-4934-4E63-8B3F-9EF5B869C88F}" type="presParOf" srcId="{5223C8B8-7B38-4642-B636-C3F87372C4F6}" destId="{9C905CA5-10D8-4F04-A0F1-0F9D9008B6C9}" srcOrd="0" destOrd="0" presId="urn:microsoft.com/office/officeart/2005/8/layout/orgChart1"/>
    <dgm:cxn modelId="{C3505800-8CC5-4C22-A2FC-A30E44819881}" type="presParOf" srcId="{5223C8B8-7B38-4642-B636-C3F87372C4F6}" destId="{5938784A-6786-45AA-A223-D0C44F4213E8}" srcOrd="1" destOrd="0" presId="urn:microsoft.com/office/officeart/2005/8/layout/orgChart1"/>
    <dgm:cxn modelId="{0F6EFA39-740A-4665-BE5C-44F710DA5BF8}" type="presParOf" srcId="{CCF7C17D-EEBF-4020-A24B-5A5AA6A7957B}" destId="{41F9E632-6BF6-42AB-A8D5-13D5574295EE}" srcOrd="1" destOrd="0" presId="urn:microsoft.com/office/officeart/2005/8/layout/orgChart1"/>
    <dgm:cxn modelId="{C66323BA-F659-421B-950E-6CAB200F5EA2}" type="presParOf" srcId="{CCF7C17D-EEBF-4020-A24B-5A5AA6A7957B}" destId="{798DE81F-AC6D-406D-8279-05A6A77F918C}" srcOrd="2" destOrd="0" presId="urn:microsoft.com/office/officeart/2005/8/layout/orgChart1"/>
    <dgm:cxn modelId="{B7BD2073-1815-4437-B0E0-7274EFC3E5AC}" type="presParOf" srcId="{398D9EBF-B8A2-478D-B3E7-9443AD4BD611}" destId="{9B21E57D-1C39-4595-B2AE-A7D574E00514}" srcOrd="8" destOrd="0" presId="urn:microsoft.com/office/officeart/2005/8/layout/orgChart1"/>
    <dgm:cxn modelId="{05D8B3C2-6D1C-469B-A961-B4B1BCD1D42F}" type="presParOf" srcId="{398D9EBF-B8A2-478D-B3E7-9443AD4BD611}" destId="{1B8249B1-7EA7-4497-BBCF-999B94036951}" srcOrd="9" destOrd="0" presId="urn:microsoft.com/office/officeart/2005/8/layout/orgChart1"/>
    <dgm:cxn modelId="{474DB1B5-EAA0-470D-AAB2-C87D55D727FD}" type="presParOf" srcId="{1B8249B1-7EA7-4497-BBCF-999B94036951}" destId="{11C4D4D1-9489-45FF-89CE-370EB8C166CA}" srcOrd="0" destOrd="0" presId="urn:microsoft.com/office/officeart/2005/8/layout/orgChart1"/>
    <dgm:cxn modelId="{FD5425B3-3708-4127-9120-27A2BE4927BF}" type="presParOf" srcId="{11C4D4D1-9489-45FF-89CE-370EB8C166CA}" destId="{F339375A-571B-46E0-9BCF-10B20599A32A}" srcOrd="0" destOrd="0" presId="urn:microsoft.com/office/officeart/2005/8/layout/orgChart1"/>
    <dgm:cxn modelId="{3AF4F91A-6358-42B4-B782-5B410015AEEB}" type="presParOf" srcId="{11C4D4D1-9489-45FF-89CE-370EB8C166CA}" destId="{2CA68FB9-541B-4940-BADC-D923B5386B7F}" srcOrd="1" destOrd="0" presId="urn:microsoft.com/office/officeart/2005/8/layout/orgChart1"/>
    <dgm:cxn modelId="{BB8EE3AE-66A3-4FDA-9A0B-E8328471509E}" type="presParOf" srcId="{1B8249B1-7EA7-4497-BBCF-999B94036951}" destId="{8D16AB6C-69F2-4DE8-A865-E07153CE53F4}" srcOrd="1" destOrd="0" presId="urn:microsoft.com/office/officeart/2005/8/layout/orgChart1"/>
    <dgm:cxn modelId="{50C23C45-06E2-42A0-9285-C71ED19CF12C}" type="presParOf" srcId="{1B8249B1-7EA7-4497-BBCF-999B94036951}" destId="{4FDF8EFA-155C-413F-B8AA-4B590E17E476}" srcOrd="2" destOrd="0" presId="urn:microsoft.com/office/officeart/2005/8/layout/orgChart1"/>
    <dgm:cxn modelId="{2BCBC667-A32E-411E-B83B-CBAC40D471A0}" type="presParOf" srcId="{398D9EBF-B8A2-478D-B3E7-9443AD4BD611}" destId="{BF6BF692-4E74-46EF-8EB7-572B179CE4DE}" srcOrd="10" destOrd="0" presId="urn:microsoft.com/office/officeart/2005/8/layout/orgChart1"/>
    <dgm:cxn modelId="{045EBDC5-DE1B-4DC3-82D0-8D7020F39FFE}" type="presParOf" srcId="{398D9EBF-B8A2-478D-B3E7-9443AD4BD611}" destId="{DF63CF0C-DFE0-4F90-828C-5BF0C1AF5755}" srcOrd="11" destOrd="0" presId="urn:microsoft.com/office/officeart/2005/8/layout/orgChart1"/>
    <dgm:cxn modelId="{028BEAEB-89BA-431B-90C6-86D6AA5049CD}" type="presParOf" srcId="{DF63CF0C-DFE0-4F90-828C-5BF0C1AF5755}" destId="{0F6F0DA8-BA0F-4CE6-9F1C-A37B3A320CD4}" srcOrd="0" destOrd="0" presId="urn:microsoft.com/office/officeart/2005/8/layout/orgChart1"/>
    <dgm:cxn modelId="{88784619-A625-4499-B3CE-613FA2E2ECA4}" type="presParOf" srcId="{0F6F0DA8-BA0F-4CE6-9F1C-A37B3A320CD4}" destId="{63A59E8D-B040-4D3C-9ACE-FE13B88C13EF}" srcOrd="0" destOrd="0" presId="urn:microsoft.com/office/officeart/2005/8/layout/orgChart1"/>
    <dgm:cxn modelId="{10DE7971-F2F3-42B2-B7B7-D91C4979CD8A}" type="presParOf" srcId="{0F6F0DA8-BA0F-4CE6-9F1C-A37B3A320CD4}" destId="{4321FC22-81E3-418F-9FE0-38CBCD77AABF}" srcOrd="1" destOrd="0" presId="urn:microsoft.com/office/officeart/2005/8/layout/orgChart1"/>
    <dgm:cxn modelId="{DB15CAB0-1A55-42BF-B1E2-CA0DF87DA298}" type="presParOf" srcId="{DF63CF0C-DFE0-4F90-828C-5BF0C1AF5755}" destId="{EECA7C07-DEA8-43AA-BE2F-6369258305D8}" srcOrd="1" destOrd="0" presId="urn:microsoft.com/office/officeart/2005/8/layout/orgChart1"/>
    <dgm:cxn modelId="{6440E8A6-C1A0-488C-BEBC-B24213901CF4}" type="presParOf" srcId="{DF63CF0C-DFE0-4F90-828C-5BF0C1AF5755}" destId="{932728F9-1156-436D-A8B9-D2226FEB5C38}" srcOrd="2" destOrd="0" presId="urn:microsoft.com/office/officeart/2005/8/layout/orgChart1"/>
    <dgm:cxn modelId="{87C17196-A98D-4A73-AF32-17601D1C3840}" type="presParOf" srcId="{398D9EBF-B8A2-478D-B3E7-9443AD4BD611}" destId="{CFC9B2FD-5026-450C-BCFB-C37D283D1B90}" srcOrd="12" destOrd="0" presId="urn:microsoft.com/office/officeart/2005/8/layout/orgChart1"/>
    <dgm:cxn modelId="{6695B451-126E-4CFD-B1DF-29D5D3F047CF}" type="presParOf" srcId="{398D9EBF-B8A2-478D-B3E7-9443AD4BD611}" destId="{51104A68-5C32-48D6-B893-B4BDACC44735}" srcOrd="13" destOrd="0" presId="urn:microsoft.com/office/officeart/2005/8/layout/orgChart1"/>
    <dgm:cxn modelId="{FF96ED2A-759B-45D3-B6E8-ECF18A464744}" type="presParOf" srcId="{51104A68-5C32-48D6-B893-B4BDACC44735}" destId="{136F1FCC-1CCA-480F-8BD9-0956EA07B63D}" srcOrd="0" destOrd="0" presId="urn:microsoft.com/office/officeart/2005/8/layout/orgChart1"/>
    <dgm:cxn modelId="{4937474B-E055-41C9-9792-F31E4E9DBEB2}" type="presParOf" srcId="{136F1FCC-1CCA-480F-8BD9-0956EA07B63D}" destId="{54956330-9F93-49DF-9F7D-CFA755B93E68}" srcOrd="0" destOrd="0" presId="urn:microsoft.com/office/officeart/2005/8/layout/orgChart1"/>
    <dgm:cxn modelId="{CFCEE03F-5261-47BC-A68B-11A1D2517217}" type="presParOf" srcId="{136F1FCC-1CCA-480F-8BD9-0956EA07B63D}" destId="{B299F4C3-577A-479D-9127-D8A0FB191895}" srcOrd="1" destOrd="0" presId="urn:microsoft.com/office/officeart/2005/8/layout/orgChart1"/>
    <dgm:cxn modelId="{4B132CF8-2960-4F40-AA28-07F2497A6804}" type="presParOf" srcId="{51104A68-5C32-48D6-B893-B4BDACC44735}" destId="{097B080F-AE78-4B5A-A49F-887141F9DCDA}" srcOrd="1" destOrd="0" presId="urn:microsoft.com/office/officeart/2005/8/layout/orgChart1"/>
    <dgm:cxn modelId="{907333C2-1DDA-44F3-B1B5-776424B827C7}" type="presParOf" srcId="{51104A68-5C32-48D6-B893-B4BDACC44735}" destId="{51DF621B-ABBB-4623-BB88-F3FCAAFE345B}" srcOrd="2" destOrd="0" presId="urn:microsoft.com/office/officeart/2005/8/layout/orgChart1"/>
    <dgm:cxn modelId="{C0803B74-BCCE-443B-8AA5-41DF864734EF}" type="presParOf" srcId="{398D9EBF-B8A2-478D-B3E7-9443AD4BD611}" destId="{93AFC06A-D3DE-439F-92EE-CF5B87921D2D}" srcOrd="14" destOrd="0" presId="urn:microsoft.com/office/officeart/2005/8/layout/orgChart1"/>
    <dgm:cxn modelId="{84B8F4FF-2EB7-4FF9-AB83-46359BFAF582}" type="presParOf" srcId="{398D9EBF-B8A2-478D-B3E7-9443AD4BD611}" destId="{CACCA90B-B173-47B9-B839-A7E170A3E334}" srcOrd="15" destOrd="0" presId="urn:microsoft.com/office/officeart/2005/8/layout/orgChart1"/>
    <dgm:cxn modelId="{FD4D5C19-18B7-4F15-BC8D-AE8EEA57D496}" type="presParOf" srcId="{CACCA90B-B173-47B9-B839-A7E170A3E334}" destId="{320F7EB0-FCB7-4ACB-97BD-091621F93D22}" srcOrd="0" destOrd="0" presId="urn:microsoft.com/office/officeart/2005/8/layout/orgChart1"/>
    <dgm:cxn modelId="{CB2A9016-047B-45D6-8DBF-E2078F51DC8B}" type="presParOf" srcId="{320F7EB0-FCB7-4ACB-97BD-091621F93D22}" destId="{AEF58A5D-431A-4872-B7AE-D7D704CDFA29}" srcOrd="0" destOrd="0" presId="urn:microsoft.com/office/officeart/2005/8/layout/orgChart1"/>
    <dgm:cxn modelId="{6C3DCE62-0FFF-4CE9-A540-31F3F47046FC}" type="presParOf" srcId="{320F7EB0-FCB7-4ACB-97BD-091621F93D22}" destId="{EE293CC1-D73B-4FBB-8B10-3B41D516736F}" srcOrd="1" destOrd="0" presId="urn:microsoft.com/office/officeart/2005/8/layout/orgChart1"/>
    <dgm:cxn modelId="{5F92A71D-EB97-43AB-933B-D94AA2FEDCED}" type="presParOf" srcId="{CACCA90B-B173-47B9-B839-A7E170A3E334}" destId="{0C457AAE-C140-49E8-A58B-0AEDB65DAF37}" srcOrd="1" destOrd="0" presId="urn:microsoft.com/office/officeart/2005/8/layout/orgChart1"/>
    <dgm:cxn modelId="{6B9BC4B1-EFE4-406B-A36D-68879EBD72F1}" type="presParOf" srcId="{CACCA90B-B173-47B9-B839-A7E170A3E334}" destId="{9FCA6A6D-68EB-49DD-89BE-3D4F13E3DF23}" srcOrd="2" destOrd="0" presId="urn:microsoft.com/office/officeart/2005/8/layout/orgChart1"/>
    <dgm:cxn modelId="{3282FB1D-A601-4877-8FA5-705734CD99D5}" type="presParOf" srcId="{97A70878-F719-48A1-B7A7-B85CB3258248}" destId="{90C49928-3112-471B-93AB-DAC836EF1743}" srcOrd="2" destOrd="0" presId="urn:microsoft.com/office/officeart/2005/8/layout/orgChart1"/>
    <dgm:cxn modelId="{CB293DD4-94E9-4797-A2F2-3DC721AA9E09}" type="presParOf" srcId="{0BFCBC33-D050-4286-A1C2-CE4B077F0DCD}" destId="{A0F6C460-5DE6-4C2A-A34F-A257D046A47D}" srcOrd="2" destOrd="0" presId="urn:microsoft.com/office/officeart/2005/8/layout/orgChart1"/>
    <dgm:cxn modelId="{521C803C-9086-43D6-8BC7-CFEE8CDB69CC}" type="presParOf" srcId="{0BFCBC33-D050-4286-A1C2-CE4B077F0DCD}" destId="{8AF4E1BC-D478-49C4-8180-92E507ADB285}" srcOrd="3" destOrd="0" presId="urn:microsoft.com/office/officeart/2005/8/layout/orgChart1"/>
    <dgm:cxn modelId="{859D02A0-E727-42D8-9048-647A71201576}" type="presParOf" srcId="{8AF4E1BC-D478-49C4-8180-92E507ADB285}" destId="{22709EAB-F800-442E-88E6-DCEDE250366B}" srcOrd="0" destOrd="0" presId="urn:microsoft.com/office/officeart/2005/8/layout/orgChart1"/>
    <dgm:cxn modelId="{F2E1BD05-5B50-4F2F-898B-3109FD87BFEF}" type="presParOf" srcId="{22709EAB-F800-442E-88E6-DCEDE250366B}" destId="{C331CBE8-AB2D-4500-864D-5E36898C1BCE}" srcOrd="0" destOrd="0" presId="urn:microsoft.com/office/officeart/2005/8/layout/orgChart1"/>
    <dgm:cxn modelId="{E322BFFF-67A1-4423-A505-0420D413F6FD}" type="presParOf" srcId="{22709EAB-F800-442E-88E6-DCEDE250366B}" destId="{655388C0-F769-4DB8-B9AB-E0495609623D}" srcOrd="1" destOrd="0" presId="urn:microsoft.com/office/officeart/2005/8/layout/orgChart1"/>
    <dgm:cxn modelId="{7EDF4D5C-D6C4-4093-8204-28280C6735FC}" type="presParOf" srcId="{8AF4E1BC-D478-49C4-8180-92E507ADB285}" destId="{CAE075FC-A82F-431A-9AFF-2CD0F5DE678A}" srcOrd="1" destOrd="0" presId="urn:microsoft.com/office/officeart/2005/8/layout/orgChart1"/>
    <dgm:cxn modelId="{6FD45DFB-7D5B-4A35-B4FB-35E0727E1618}" type="presParOf" srcId="{CAE075FC-A82F-431A-9AFF-2CD0F5DE678A}" destId="{13D31387-0CC3-42D9-9B6B-3ECFAE397FCA}" srcOrd="0" destOrd="0" presId="urn:microsoft.com/office/officeart/2005/8/layout/orgChart1"/>
    <dgm:cxn modelId="{9758D2B2-18CC-4ADF-82C9-94B009C86035}" type="presParOf" srcId="{CAE075FC-A82F-431A-9AFF-2CD0F5DE678A}" destId="{33FB0868-CAFD-4EEE-A4DF-1A0AE2BABAD9}" srcOrd="1" destOrd="0" presId="urn:microsoft.com/office/officeart/2005/8/layout/orgChart1"/>
    <dgm:cxn modelId="{33C8BA32-F960-430A-B61C-44B7A938BD16}" type="presParOf" srcId="{33FB0868-CAFD-4EEE-A4DF-1A0AE2BABAD9}" destId="{A02810A0-88DA-4B2E-990C-E904FB2F988D}" srcOrd="0" destOrd="0" presId="urn:microsoft.com/office/officeart/2005/8/layout/orgChart1"/>
    <dgm:cxn modelId="{1DB3699E-2634-45C0-939C-07257D2AA677}" type="presParOf" srcId="{A02810A0-88DA-4B2E-990C-E904FB2F988D}" destId="{078BA1D6-D0AC-403A-9BB6-90D719304C95}" srcOrd="0" destOrd="0" presId="urn:microsoft.com/office/officeart/2005/8/layout/orgChart1"/>
    <dgm:cxn modelId="{FB80B006-F28E-4B77-A551-2E7E6FCDA634}" type="presParOf" srcId="{A02810A0-88DA-4B2E-990C-E904FB2F988D}" destId="{C9AEDBEC-F2CE-4719-928E-4DC41659B0FF}" srcOrd="1" destOrd="0" presId="urn:microsoft.com/office/officeart/2005/8/layout/orgChart1"/>
    <dgm:cxn modelId="{7987A09C-131F-4E96-ABCC-24D170BC2D2C}" type="presParOf" srcId="{33FB0868-CAFD-4EEE-A4DF-1A0AE2BABAD9}" destId="{B2670908-B096-455D-959E-762B5F4A7CC7}" srcOrd="1" destOrd="0" presId="urn:microsoft.com/office/officeart/2005/8/layout/orgChart1"/>
    <dgm:cxn modelId="{8AFECA93-4FC0-4090-946D-7E2055445DE0}" type="presParOf" srcId="{33FB0868-CAFD-4EEE-A4DF-1A0AE2BABAD9}" destId="{4034AA73-5630-497C-BD9A-108EEC7369BE}" srcOrd="2" destOrd="0" presId="urn:microsoft.com/office/officeart/2005/8/layout/orgChart1"/>
    <dgm:cxn modelId="{A3EEC3D3-7F6B-4E3A-8D8C-4EDE1318D87D}" type="presParOf" srcId="{CAE075FC-A82F-431A-9AFF-2CD0F5DE678A}" destId="{79D00E18-23D5-4B48-B077-EE469E00D6F1}" srcOrd="2" destOrd="0" presId="urn:microsoft.com/office/officeart/2005/8/layout/orgChart1"/>
    <dgm:cxn modelId="{FB685413-FAA8-44E1-A1AC-2C8FB5496108}" type="presParOf" srcId="{CAE075FC-A82F-431A-9AFF-2CD0F5DE678A}" destId="{0D4908EE-E473-4D53-8AE4-53FC8A29F3AC}" srcOrd="3" destOrd="0" presId="urn:microsoft.com/office/officeart/2005/8/layout/orgChart1"/>
    <dgm:cxn modelId="{62BDF2EC-332E-4809-8F1C-086F65A550D8}" type="presParOf" srcId="{0D4908EE-E473-4D53-8AE4-53FC8A29F3AC}" destId="{AD75F40C-50DC-4EEC-9CC7-25129BFDBB36}" srcOrd="0" destOrd="0" presId="urn:microsoft.com/office/officeart/2005/8/layout/orgChart1"/>
    <dgm:cxn modelId="{4A0374E4-A6AA-44C0-BF35-1CEDD1E89DD1}" type="presParOf" srcId="{AD75F40C-50DC-4EEC-9CC7-25129BFDBB36}" destId="{A5D57E41-9FF4-4123-8DA8-D9CAE456B158}" srcOrd="0" destOrd="0" presId="urn:microsoft.com/office/officeart/2005/8/layout/orgChart1"/>
    <dgm:cxn modelId="{544458BD-EEA1-4C37-864E-EAFDA2D78A8A}" type="presParOf" srcId="{AD75F40C-50DC-4EEC-9CC7-25129BFDBB36}" destId="{B2C53C1D-1A3C-4036-8510-5A1985CF5676}" srcOrd="1" destOrd="0" presId="urn:microsoft.com/office/officeart/2005/8/layout/orgChart1"/>
    <dgm:cxn modelId="{071254A8-4064-4BBC-8844-BE1CB5CB56F4}" type="presParOf" srcId="{0D4908EE-E473-4D53-8AE4-53FC8A29F3AC}" destId="{A29B54D2-8D22-4ABB-AF10-AE3C2C6AE09F}" srcOrd="1" destOrd="0" presId="urn:microsoft.com/office/officeart/2005/8/layout/orgChart1"/>
    <dgm:cxn modelId="{18B6F0ED-B18E-45D3-B3A2-86A8652CCE83}" type="presParOf" srcId="{0D4908EE-E473-4D53-8AE4-53FC8A29F3AC}" destId="{B06CBD82-3C24-4282-B670-A0965AF9C419}" srcOrd="2" destOrd="0" presId="urn:microsoft.com/office/officeart/2005/8/layout/orgChart1"/>
    <dgm:cxn modelId="{D36D828F-3211-40B8-B2B1-D09987D82072}" type="presParOf" srcId="{CAE075FC-A82F-431A-9AFF-2CD0F5DE678A}" destId="{89E54461-BE29-4045-A53D-6B8C0EFF2644}" srcOrd="4" destOrd="0" presId="urn:microsoft.com/office/officeart/2005/8/layout/orgChart1"/>
    <dgm:cxn modelId="{2EC8BD6A-9018-4A71-A210-32498F2C4E1D}" type="presParOf" srcId="{CAE075FC-A82F-431A-9AFF-2CD0F5DE678A}" destId="{5FD32FA0-DCDF-43D8-ABA7-02DF8A337890}" srcOrd="5" destOrd="0" presId="urn:microsoft.com/office/officeart/2005/8/layout/orgChart1"/>
    <dgm:cxn modelId="{474E799A-2D5D-4955-97F9-EEBDF2E86744}" type="presParOf" srcId="{5FD32FA0-DCDF-43D8-ABA7-02DF8A337890}" destId="{F569E44A-715F-4633-B294-BB1A6CB4E999}" srcOrd="0" destOrd="0" presId="urn:microsoft.com/office/officeart/2005/8/layout/orgChart1"/>
    <dgm:cxn modelId="{B340B7CB-91B2-4D02-BB1F-B7FDC0E17F44}" type="presParOf" srcId="{F569E44A-715F-4633-B294-BB1A6CB4E999}" destId="{37C78485-9DF9-4E2F-9A79-20D0A59183F1}" srcOrd="0" destOrd="0" presId="urn:microsoft.com/office/officeart/2005/8/layout/orgChart1"/>
    <dgm:cxn modelId="{AFD4DC92-4BAA-4FF1-98B1-06FCDC592DE7}" type="presParOf" srcId="{F569E44A-715F-4633-B294-BB1A6CB4E999}" destId="{35EB1EFE-D20C-43F4-96CB-591729F28A08}" srcOrd="1" destOrd="0" presId="urn:microsoft.com/office/officeart/2005/8/layout/orgChart1"/>
    <dgm:cxn modelId="{2F6C2133-C7D0-499A-B1CE-DFAC772BB5B0}" type="presParOf" srcId="{5FD32FA0-DCDF-43D8-ABA7-02DF8A337890}" destId="{A16B2CBF-5623-4D3B-8627-DD890B94991C}" srcOrd="1" destOrd="0" presId="urn:microsoft.com/office/officeart/2005/8/layout/orgChart1"/>
    <dgm:cxn modelId="{1F0DF777-1ADF-418E-A711-F07B93C6BFF4}" type="presParOf" srcId="{5FD32FA0-DCDF-43D8-ABA7-02DF8A337890}" destId="{67D11A9C-3A68-44F3-852B-0732D8FCE6B5}" srcOrd="2" destOrd="0" presId="urn:microsoft.com/office/officeart/2005/8/layout/orgChart1"/>
    <dgm:cxn modelId="{C859BEC8-86CB-4B28-9A1F-7FC236F12A6E}" type="presParOf" srcId="{CAE075FC-A82F-431A-9AFF-2CD0F5DE678A}" destId="{B3DA17D9-432E-4980-9EEC-00BEDBCF2950}" srcOrd="6" destOrd="0" presId="urn:microsoft.com/office/officeart/2005/8/layout/orgChart1"/>
    <dgm:cxn modelId="{DDD9C169-7335-43E1-802B-1F60C9D5B4E3}" type="presParOf" srcId="{CAE075FC-A82F-431A-9AFF-2CD0F5DE678A}" destId="{0990BD15-8AF6-4C10-B2E8-F16B97D4C3E3}" srcOrd="7" destOrd="0" presId="urn:microsoft.com/office/officeart/2005/8/layout/orgChart1"/>
    <dgm:cxn modelId="{6F053158-D90F-4D7D-B0A9-08692E2457BA}" type="presParOf" srcId="{0990BD15-8AF6-4C10-B2E8-F16B97D4C3E3}" destId="{09A2FF2E-B509-4E92-AAD7-8F150EA2D800}" srcOrd="0" destOrd="0" presId="urn:microsoft.com/office/officeart/2005/8/layout/orgChart1"/>
    <dgm:cxn modelId="{F9C4388F-4363-4316-8B85-8D58D48C6F94}" type="presParOf" srcId="{09A2FF2E-B509-4E92-AAD7-8F150EA2D800}" destId="{E42B7B73-E967-4B79-BC3D-3F50F191349D}" srcOrd="0" destOrd="0" presId="urn:microsoft.com/office/officeart/2005/8/layout/orgChart1"/>
    <dgm:cxn modelId="{5189521B-07DE-471C-80E6-AAC927DA4F1D}" type="presParOf" srcId="{09A2FF2E-B509-4E92-AAD7-8F150EA2D800}" destId="{3EA4EF2D-FF4A-4E65-8B7F-6330FA28A81D}" srcOrd="1" destOrd="0" presId="urn:microsoft.com/office/officeart/2005/8/layout/orgChart1"/>
    <dgm:cxn modelId="{0D946396-2179-4480-8AC7-DFF3D02BDA46}" type="presParOf" srcId="{0990BD15-8AF6-4C10-B2E8-F16B97D4C3E3}" destId="{A6E63034-6555-46BE-8CF9-B261669072B7}" srcOrd="1" destOrd="0" presId="urn:microsoft.com/office/officeart/2005/8/layout/orgChart1"/>
    <dgm:cxn modelId="{450D37D0-9D6F-4026-9D99-7F6F5F3615BA}" type="presParOf" srcId="{0990BD15-8AF6-4C10-B2E8-F16B97D4C3E3}" destId="{C5163993-4A08-43DD-B5A7-FEB2D28506AB}" srcOrd="2" destOrd="0" presId="urn:microsoft.com/office/officeart/2005/8/layout/orgChart1"/>
    <dgm:cxn modelId="{07586F7A-783E-4377-9B94-C5663697C0AF}" type="presParOf" srcId="{CAE075FC-A82F-431A-9AFF-2CD0F5DE678A}" destId="{074EDB20-0C87-4E8D-A6B3-3E517BACEDF9}" srcOrd="8" destOrd="0" presId="urn:microsoft.com/office/officeart/2005/8/layout/orgChart1"/>
    <dgm:cxn modelId="{D12F9C1C-A177-4A1B-813C-6C97281EA049}" type="presParOf" srcId="{CAE075FC-A82F-431A-9AFF-2CD0F5DE678A}" destId="{3845BD93-BA5A-452B-8B84-CCC24CDB9D48}" srcOrd="9" destOrd="0" presId="urn:microsoft.com/office/officeart/2005/8/layout/orgChart1"/>
    <dgm:cxn modelId="{A77B72A0-BEFC-4379-87EE-B72EBF391A93}" type="presParOf" srcId="{3845BD93-BA5A-452B-8B84-CCC24CDB9D48}" destId="{4C7E3AB7-F9A0-4834-9588-646BB13025DA}" srcOrd="0" destOrd="0" presId="urn:microsoft.com/office/officeart/2005/8/layout/orgChart1"/>
    <dgm:cxn modelId="{B34A67B3-999C-460F-B8A1-2362F9F22D84}" type="presParOf" srcId="{4C7E3AB7-F9A0-4834-9588-646BB13025DA}" destId="{146EBF6B-B2EE-432D-8C92-932C9C0E76B3}" srcOrd="0" destOrd="0" presId="urn:microsoft.com/office/officeart/2005/8/layout/orgChart1"/>
    <dgm:cxn modelId="{196574D8-1F12-4ED2-8C77-1FFD8CC21D92}" type="presParOf" srcId="{4C7E3AB7-F9A0-4834-9588-646BB13025DA}" destId="{03CC8052-EC0C-48BA-AE64-CA7D000C49C8}" srcOrd="1" destOrd="0" presId="urn:microsoft.com/office/officeart/2005/8/layout/orgChart1"/>
    <dgm:cxn modelId="{34F21681-EA99-4A75-A3C0-8D4584D039D8}" type="presParOf" srcId="{3845BD93-BA5A-452B-8B84-CCC24CDB9D48}" destId="{96CFD9D3-866F-4C6A-9375-88F8C82D57ED}" srcOrd="1" destOrd="0" presId="urn:microsoft.com/office/officeart/2005/8/layout/orgChart1"/>
    <dgm:cxn modelId="{FDAF258E-8954-47B8-80C7-71266C0C8393}" type="presParOf" srcId="{3845BD93-BA5A-452B-8B84-CCC24CDB9D48}" destId="{18DCEBBE-9C29-465E-BDA3-4587D8831518}" srcOrd="2" destOrd="0" presId="urn:microsoft.com/office/officeart/2005/8/layout/orgChart1"/>
    <dgm:cxn modelId="{CE717791-E2F4-45C2-9E32-7015A548219A}" type="presParOf" srcId="{CAE075FC-A82F-431A-9AFF-2CD0F5DE678A}" destId="{E049B4B0-6399-4292-BD38-D413FFCB6395}" srcOrd="10" destOrd="0" presId="urn:microsoft.com/office/officeart/2005/8/layout/orgChart1"/>
    <dgm:cxn modelId="{32943D78-3A5A-4232-A212-CD6DC5A75649}" type="presParOf" srcId="{CAE075FC-A82F-431A-9AFF-2CD0F5DE678A}" destId="{CFCF2806-DC55-423E-BE36-9E96112C4675}" srcOrd="11" destOrd="0" presId="urn:microsoft.com/office/officeart/2005/8/layout/orgChart1"/>
    <dgm:cxn modelId="{0477110A-ADA1-490C-9DBC-F8760558C1D2}" type="presParOf" srcId="{CFCF2806-DC55-423E-BE36-9E96112C4675}" destId="{40339B8C-FD26-447C-92F2-E2C9A0838BE3}" srcOrd="0" destOrd="0" presId="urn:microsoft.com/office/officeart/2005/8/layout/orgChart1"/>
    <dgm:cxn modelId="{0F0E1F89-B82D-4FD9-9147-331955AB1ACC}" type="presParOf" srcId="{40339B8C-FD26-447C-92F2-E2C9A0838BE3}" destId="{C4AE23C5-C7B4-4BC7-B9C2-507CF3103D3A}" srcOrd="0" destOrd="0" presId="urn:microsoft.com/office/officeart/2005/8/layout/orgChart1"/>
    <dgm:cxn modelId="{8216E240-BF48-4868-978A-36667C545297}" type="presParOf" srcId="{40339B8C-FD26-447C-92F2-E2C9A0838BE3}" destId="{161F08A5-624A-4B89-AFB6-25A0843D7028}" srcOrd="1" destOrd="0" presId="urn:microsoft.com/office/officeart/2005/8/layout/orgChart1"/>
    <dgm:cxn modelId="{D72E8A16-C9E1-4164-A958-7BD6A73C542A}" type="presParOf" srcId="{CFCF2806-DC55-423E-BE36-9E96112C4675}" destId="{44F99599-652D-4CFE-A04C-C924AF2E8734}" srcOrd="1" destOrd="0" presId="urn:microsoft.com/office/officeart/2005/8/layout/orgChart1"/>
    <dgm:cxn modelId="{C4E85DD7-6B20-4A87-9D77-BCB326606244}" type="presParOf" srcId="{CFCF2806-DC55-423E-BE36-9E96112C4675}" destId="{EFCD7D58-31E0-4693-B182-CE9892246682}" srcOrd="2" destOrd="0" presId="urn:microsoft.com/office/officeart/2005/8/layout/orgChart1"/>
    <dgm:cxn modelId="{800E12AE-F833-41EF-A39C-A2D802A5905D}" type="presParOf" srcId="{CAE075FC-A82F-431A-9AFF-2CD0F5DE678A}" destId="{119B7AF3-5105-4EAE-908E-8B3594DF0FDE}" srcOrd="12" destOrd="0" presId="urn:microsoft.com/office/officeart/2005/8/layout/orgChart1"/>
    <dgm:cxn modelId="{44102791-B220-4A57-A30E-A577FA5760D4}" type="presParOf" srcId="{CAE075FC-A82F-431A-9AFF-2CD0F5DE678A}" destId="{BF17AA02-E171-4C7E-923F-B6788C27A0A6}" srcOrd="13" destOrd="0" presId="urn:microsoft.com/office/officeart/2005/8/layout/orgChart1"/>
    <dgm:cxn modelId="{8FBFBB19-5B35-44F9-991D-0E704A24D682}" type="presParOf" srcId="{BF17AA02-E171-4C7E-923F-B6788C27A0A6}" destId="{EE40CA3C-55E2-4A6B-A836-926AD96EB1E2}" srcOrd="0" destOrd="0" presId="urn:microsoft.com/office/officeart/2005/8/layout/orgChart1"/>
    <dgm:cxn modelId="{D39FC775-B1EA-4A1B-AB95-CE21BA43CC04}" type="presParOf" srcId="{EE40CA3C-55E2-4A6B-A836-926AD96EB1E2}" destId="{AC2D6CC2-D55A-4D83-A157-2808454054F1}" srcOrd="0" destOrd="0" presId="urn:microsoft.com/office/officeart/2005/8/layout/orgChart1"/>
    <dgm:cxn modelId="{37D64A7E-FBA5-4BBB-AC15-6A749644BF03}" type="presParOf" srcId="{EE40CA3C-55E2-4A6B-A836-926AD96EB1E2}" destId="{D58CC4D8-A40C-4D9D-963C-64136D768CFD}" srcOrd="1" destOrd="0" presId="urn:microsoft.com/office/officeart/2005/8/layout/orgChart1"/>
    <dgm:cxn modelId="{7C4E6A25-2E9F-4A18-98D8-F81F8C20C4BC}" type="presParOf" srcId="{BF17AA02-E171-4C7E-923F-B6788C27A0A6}" destId="{28C264A3-4E39-497F-8269-77B5295AAF82}" srcOrd="1" destOrd="0" presId="urn:microsoft.com/office/officeart/2005/8/layout/orgChart1"/>
    <dgm:cxn modelId="{639135BD-6B39-41C4-9EF9-719A00D19A61}" type="presParOf" srcId="{BF17AA02-E171-4C7E-923F-B6788C27A0A6}" destId="{D7D5E1C7-FE2A-4EFF-A409-7DEFB32F8F93}" srcOrd="2" destOrd="0" presId="urn:microsoft.com/office/officeart/2005/8/layout/orgChart1"/>
    <dgm:cxn modelId="{E2663437-EC89-4FD9-9C95-37EC8EA0B477}" type="presParOf" srcId="{CAE075FC-A82F-431A-9AFF-2CD0F5DE678A}" destId="{8E7E29F4-1086-4926-B205-07DCA084D8D2}" srcOrd="14" destOrd="0" presId="urn:microsoft.com/office/officeart/2005/8/layout/orgChart1"/>
    <dgm:cxn modelId="{02F1F2D1-0DD5-463C-AFEC-578C079D5CF3}" type="presParOf" srcId="{CAE075FC-A82F-431A-9AFF-2CD0F5DE678A}" destId="{610530C3-09E1-4CC6-BABD-7EC020CB1A79}" srcOrd="15" destOrd="0" presId="urn:microsoft.com/office/officeart/2005/8/layout/orgChart1"/>
    <dgm:cxn modelId="{72492ADF-9D06-4062-BD6F-1CD67FEA164E}" type="presParOf" srcId="{610530C3-09E1-4CC6-BABD-7EC020CB1A79}" destId="{0AA9F661-9C25-4318-AE4C-61EA301BE69A}" srcOrd="0" destOrd="0" presId="urn:microsoft.com/office/officeart/2005/8/layout/orgChart1"/>
    <dgm:cxn modelId="{BD7269B4-D01F-418C-97A0-669A56A7B947}" type="presParOf" srcId="{0AA9F661-9C25-4318-AE4C-61EA301BE69A}" destId="{1C3D8AE5-0313-41D1-8F4B-23FB984360EE}" srcOrd="0" destOrd="0" presId="urn:microsoft.com/office/officeart/2005/8/layout/orgChart1"/>
    <dgm:cxn modelId="{4805F35A-B3DA-4992-BD2B-D4E88BEF2CB3}" type="presParOf" srcId="{0AA9F661-9C25-4318-AE4C-61EA301BE69A}" destId="{99CA0BE2-A7ED-4809-ABD0-DDFEB06D38AE}" srcOrd="1" destOrd="0" presId="urn:microsoft.com/office/officeart/2005/8/layout/orgChart1"/>
    <dgm:cxn modelId="{EE903890-61E1-4FBE-B892-8218808A0947}" type="presParOf" srcId="{610530C3-09E1-4CC6-BABD-7EC020CB1A79}" destId="{B2AD4F02-F36C-401D-8888-3745F0D4101E}" srcOrd="1" destOrd="0" presId="urn:microsoft.com/office/officeart/2005/8/layout/orgChart1"/>
    <dgm:cxn modelId="{C5C132A0-0919-4CDD-A577-FA97A63CF07E}" type="presParOf" srcId="{610530C3-09E1-4CC6-BABD-7EC020CB1A79}" destId="{D05627CA-F7CA-4D2E-B458-ACE0811E72DF}" srcOrd="2" destOrd="0" presId="urn:microsoft.com/office/officeart/2005/8/layout/orgChart1"/>
    <dgm:cxn modelId="{1CF0B635-7D6A-44A7-BBEC-0386738B0BF7}" type="presParOf" srcId="{8AF4E1BC-D478-49C4-8180-92E507ADB285}" destId="{5ACE7801-31BA-4D8E-B984-7C0B81D1F691}" srcOrd="2" destOrd="0" presId="urn:microsoft.com/office/officeart/2005/8/layout/orgChart1"/>
    <dgm:cxn modelId="{5182DA78-6C12-4438-B145-768F602A18BF}" type="presParOf" srcId="{0BFCBC33-D050-4286-A1C2-CE4B077F0DCD}" destId="{C1B1FEDF-8071-42AE-A935-C06E0A959EBE}" srcOrd="4" destOrd="0" presId="urn:microsoft.com/office/officeart/2005/8/layout/orgChart1"/>
    <dgm:cxn modelId="{5A22BF10-F68B-4772-B614-ABC0D00CDB95}" type="presParOf" srcId="{0BFCBC33-D050-4286-A1C2-CE4B077F0DCD}" destId="{D61079E2-1C44-4600-B02C-1E4E75920278}" srcOrd="5" destOrd="0" presId="urn:microsoft.com/office/officeart/2005/8/layout/orgChart1"/>
    <dgm:cxn modelId="{5B732DF7-03F2-427C-A000-6D3DD64343C2}" type="presParOf" srcId="{D61079E2-1C44-4600-B02C-1E4E75920278}" destId="{FF962BA4-2259-44C9-BC09-E8E09A688CFF}" srcOrd="0" destOrd="0" presId="urn:microsoft.com/office/officeart/2005/8/layout/orgChart1"/>
    <dgm:cxn modelId="{870AF9D2-B5CA-4BA2-9B75-D18D6318907F}" type="presParOf" srcId="{FF962BA4-2259-44C9-BC09-E8E09A688CFF}" destId="{3738F56F-BA36-434B-B58C-8D485EF3C430}" srcOrd="0" destOrd="0" presId="urn:microsoft.com/office/officeart/2005/8/layout/orgChart1"/>
    <dgm:cxn modelId="{0CC481E4-0296-4ED4-B408-0B432F3BE8C9}" type="presParOf" srcId="{FF962BA4-2259-44C9-BC09-E8E09A688CFF}" destId="{2E32C048-22BE-4848-A101-FA98F9DEB7B6}" srcOrd="1" destOrd="0" presId="urn:microsoft.com/office/officeart/2005/8/layout/orgChart1"/>
    <dgm:cxn modelId="{C47B5F8A-6C73-45E6-8E2B-93754FA4D86B}" type="presParOf" srcId="{D61079E2-1C44-4600-B02C-1E4E75920278}" destId="{E282C0DE-16CA-402A-8B47-CFCA42A26D1B}" srcOrd="1" destOrd="0" presId="urn:microsoft.com/office/officeart/2005/8/layout/orgChart1"/>
    <dgm:cxn modelId="{6043AD24-9F87-4300-AA3F-F440A4C69DB4}" type="presParOf" srcId="{E282C0DE-16CA-402A-8B47-CFCA42A26D1B}" destId="{91804591-E6A3-47CD-8153-731BF6693F19}" srcOrd="0" destOrd="0" presId="urn:microsoft.com/office/officeart/2005/8/layout/orgChart1"/>
    <dgm:cxn modelId="{5D240364-7130-4C73-BEFE-B76069B1ABA4}" type="presParOf" srcId="{E282C0DE-16CA-402A-8B47-CFCA42A26D1B}" destId="{9910B9C8-6FCB-421E-9169-94E6B907BB1F}" srcOrd="1" destOrd="0" presId="urn:microsoft.com/office/officeart/2005/8/layout/orgChart1"/>
    <dgm:cxn modelId="{53AA38DA-504C-4C7D-B06D-56910DB4B9F5}" type="presParOf" srcId="{9910B9C8-6FCB-421E-9169-94E6B907BB1F}" destId="{6016DBD4-FD7B-463B-A175-66CF0B60139D}" srcOrd="0" destOrd="0" presId="urn:microsoft.com/office/officeart/2005/8/layout/orgChart1"/>
    <dgm:cxn modelId="{EFB2A74E-CFF6-409C-B8EA-3A1D9E796C03}" type="presParOf" srcId="{6016DBD4-FD7B-463B-A175-66CF0B60139D}" destId="{592FD2E2-5729-46E7-87AE-D7B6353D7644}" srcOrd="0" destOrd="0" presId="urn:microsoft.com/office/officeart/2005/8/layout/orgChart1"/>
    <dgm:cxn modelId="{431BDF02-3443-4A01-9EE3-F4979CCAEC44}" type="presParOf" srcId="{6016DBD4-FD7B-463B-A175-66CF0B60139D}" destId="{89723FC5-A025-4A43-ACBE-9D553729389A}" srcOrd="1" destOrd="0" presId="urn:microsoft.com/office/officeart/2005/8/layout/orgChart1"/>
    <dgm:cxn modelId="{B078BE10-BBB5-4DA1-9EC7-586558A977D0}" type="presParOf" srcId="{9910B9C8-6FCB-421E-9169-94E6B907BB1F}" destId="{040B69DC-CEA1-4090-AD22-2671C3EC480F}" srcOrd="1" destOrd="0" presId="urn:microsoft.com/office/officeart/2005/8/layout/orgChart1"/>
    <dgm:cxn modelId="{4C57C57A-49FF-4F7A-B095-F542E9EA723F}" type="presParOf" srcId="{9910B9C8-6FCB-421E-9169-94E6B907BB1F}" destId="{B7ACFEBD-5065-4531-8BB4-BC4A6220F3D5}" srcOrd="2" destOrd="0" presId="urn:microsoft.com/office/officeart/2005/8/layout/orgChart1"/>
    <dgm:cxn modelId="{C3A171A7-33B7-43C3-AF1B-76242AE91EC2}" type="presParOf" srcId="{E282C0DE-16CA-402A-8B47-CFCA42A26D1B}" destId="{5CD3EF55-AAB5-4343-8418-698E60D28D5F}" srcOrd="2" destOrd="0" presId="urn:microsoft.com/office/officeart/2005/8/layout/orgChart1"/>
    <dgm:cxn modelId="{B42405DD-E8BB-4FB4-AFF6-207708698B2C}" type="presParOf" srcId="{E282C0DE-16CA-402A-8B47-CFCA42A26D1B}" destId="{2B8765D2-EF0A-4466-A15E-EC4B0AEB9562}" srcOrd="3" destOrd="0" presId="urn:microsoft.com/office/officeart/2005/8/layout/orgChart1"/>
    <dgm:cxn modelId="{63256135-968D-455D-83FA-3F283C71BF03}" type="presParOf" srcId="{2B8765D2-EF0A-4466-A15E-EC4B0AEB9562}" destId="{3A7CFFF7-25EC-4001-B083-B7E07B299476}" srcOrd="0" destOrd="0" presId="urn:microsoft.com/office/officeart/2005/8/layout/orgChart1"/>
    <dgm:cxn modelId="{BBC074C4-500D-4ACB-953C-EE5EE33190C0}" type="presParOf" srcId="{3A7CFFF7-25EC-4001-B083-B7E07B299476}" destId="{256C9800-EC49-4C2C-8A9F-F4DFFEB5B57F}" srcOrd="0" destOrd="0" presId="urn:microsoft.com/office/officeart/2005/8/layout/orgChart1"/>
    <dgm:cxn modelId="{AB5F30E1-CC97-4B7F-BCF9-68AF519179ED}" type="presParOf" srcId="{3A7CFFF7-25EC-4001-B083-B7E07B299476}" destId="{C59DA03B-B7CA-4AC5-AF6B-920289AB64AD}" srcOrd="1" destOrd="0" presId="urn:microsoft.com/office/officeart/2005/8/layout/orgChart1"/>
    <dgm:cxn modelId="{830DE762-E73B-4730-83C0-FA08AEE56A62}" type="presParOf" srcId="{2B8765D2-EF0A-4466-A15E-EC4B0AEB9562}" destId="{08235603-8BD3-4C5B-982C-23B1F8C6CD4C}" srcOrd="1" destOrd="0" presId="urn:microsoft.com/office/officeart/2005/8/layout/orgChart1"/>
    <dgm:cxn modelId="{6CCC88CA-949B-4051-AEF5-5C7A2C32EA4D}" type="presParOf" srcId="{2B8765D2-EF0A-4466-A15E-EC4B0AEB9562}" destId="{BAA8554D-D59E-4495-8C55-53598D60BE9C}" srcOrd="2" destOrd="0" presId="urn:microsoft.com/office/officeart/2005/8/layout/orgChart1"/>
    <dgm:cxn modelId="{1FDFCB6F-74BA-4F36-978B-38B1781B8E00}" type="presParOf" srcId="{E282C0DE-16CA-402A-8B47-CFCA42A26D1B}" destId="{DE9391FA-CE19-4AED-B9FC-D4F0444C3791}" srcOrd="4" destOrd="0" presId="urn:microsoft.com/office/officeart/2005/8/layout/orgChart1"/>
    <dgm:cxn modelId="{60990367-68C6-4295-8D49-0B8061622CC2}" type="presParOf" srcId="{E282C0DE-16CA-402A-8B47-CFCA42A26D1B}" destId="{E05794A3-7766-46D4-8CE4-65C56D5D5BD3}" srcOrd="5" destOrd="0" presId="urn:microsoft.com/office/officeart/2005/8/layout/orgChart1"/>
    <dgm:cxn modelId="{9B60719C-81CB-44DE-9421-8483A73836FC}" type="presParOf" srcId="{E05794A3-7766-46D4-8CE4-65C56D5D5BD3}" destId="{686FA3CF-D161-4778-A076-AB8D54B7F5DC}" srcOrd="0" destOrd="0" presId="urn:microsoft.com/office/officeart/2005/8/layout/orgChart1"/>
    <dgm:cxn modelId="{5D1C67A7-E584-494D-B880-2B8AA2B6B376}" type="presParOf" srcId="{686FA3CF-D161-4778-A076-AB8D54B7F5DC}" destId="{90120405-F645-4526-9DD3-772057D93D7A}" srcOrd="0" destOrd="0" presId="urn:microsoft.com/office/officeart/2005/8/layout/orgChart1"/>
    <dgm:cxn modelId="{2DD14E27-72DF-4333-A48B-D129D40781BF}" type="presParOf" srcId="{686FA3CF-D161-4778-A076-AB8D54B7F5DC}" destId="{6DCD0DF1-6F86-4D80-BBE1-3BAE1A6DB90F}" srcOrd="1" destOrd="0" presId="urn:microsoft.com/office/officeart/2005/8/layout/orgChart1"/>
    <dgm:cxn modelId="{EF6E94E4-80DF-4885-A21E-2647EB84D972}" type="presParOf" srcId="{E05794A3-7766-46D4-8CE4-65C56D5D5BD3}" destId="{8834FC7A-F9AF-4369-96A1-A3E9D222BB60}" srcOrd="1" destOrd="0" presId="urn:microsoft.com/office/officeart/2005/8/layout/orgChart1"/>
    <dgm:cxn modelId="{47925627-7DE4-4A84-A01D-E0DB8D25433A}" type="presParOf" srcId="{E05794A3-7766-46D4-8CE4-65C56D5D5BD3}" destId="{F7C685C8-7F7E-4EA9-86DF-73C6D5B6B973}" srcOrd="2" destOrd="0" presId="urn:microsoft.com/office/officeart/2005/8/layout/orgChart1"/>
    <dgm:cxn modelId="{552F5562-F08B-42A1-922D-B4CC259ECC19}" type="presParOf" srcId="{D61079E2-1C44-4600-B02C-1E4E75920278}" destId="{F1BB266A-F428-43A0-A0B6-1E010A3D3AD7}" srcOrd="2" destOrd="0" presId="urn:microsoft.com/office/officeart/2005/8/layout/orgChart1"/>
    <dgm:cxn modelId="{A33D0FAA-3047-42EA-A8A1-4C52ECE1734E}" type="presParOf" srcId="{0BFCBC33-D050-4286-A1C2-CE4B077F0DCD}" destId="{105E15DC-C145-4030-A5F1-0106D99ADC9C}" srcOrd="6" destOrd="0" presId="urn:microsoft.com/office/officeart/2005/8/layout/orgChart1"/>
    <dgm:cxn modelId="{E2BCD768-94AC-4B17-A078-D701E68A8A5F}" type="presParOf" srcId="{0BFCBC33-D050-4286-A1C2-CE4B077F0DCD}" destId="{2D6AEE9D-4FF5-4C2C-8D47-BB9A57125852}" srcOrd="7" destOrd="0" presId="urn:microsoft.com/office/officeart/2005/8/layout/orgChart1"/>
    <dgm:cxn modelId="{A26A595B-2D08-4AFB-98EA-D1B8062A84FA}" type="presParOf" srcId="{2D6AEE9D-4FF5-4C2C-8D47-BB9A57125852}" destId="{8F5FE1A4-7F8E-4D31-B009-DDF6397361A0}" srcOrd="0" destOrd="0" presId="urn:microsoft.com/office/officeart/2005/8/layout/orgChart1"/>
    <dgm:cxn modelId="{0696BA16-5A4B-4ED7-BABF-870518FB1B1C}" type="presParOf" srcId="{8F5FE1A4-7F8E-4D31-B009-DDF6397361A0}" destId="{5B17259D-0608-41D3-BC19-F0D24A4FF925}" srcOrd="0" destOrd="0" presId="urn:microsoft.com/office/officeart/2005/8/layout/orgChart1"/>
    <dgm:cxn modelId="{F957FCFE-67E0-4F7E-A3DB-27A27224BCD6}" type="presParOf" srcId="{8F5FE1A4-7F8E-4D31-B009-DDF6397361A0}" destId="{A1816D55-4597-4BAB-B95B-C583FCD55531}" srcOrd="1" destOrd="0" presId="urn:microsoft.com/office/officeart/2005/8/layout/orgChart1"/>
    <dgm:cxn modelId="{A32FC2CC-7EB9-4FF6-89A9-972AC48C5B94}" type="presParOf" srcId="{2D6AEE9D-4FF5-4C2C-8D47-BB9A57125852}" destId="{E273B316-8541-4262-B1DD-8AB4D3F33389}" srcOrd="1" destOrd="0" presId="urn:microsoft.com/office/officeart/2005/8/layout/orgChart1"/>
    <dgm:cxn modelId="{8BCACDC2-7C97-4EF2-9A8D-E72E557C941F}" type="presParOf" srcId="{E273B316-8541-4262-B1DD-8AB4D3F33389}" destId="{FE21D86C-E348-4048-9651-225AD00E7188}" srcOrd="0" destOrd="0" presId="urn:microsoft.com/office/officeart/2005/8/layout/orgChart1"/>
    <dgm:cxn modelId="{6ED123A9-8494-4780-8B65-5452FDFA6BCA}" type="presParOf" srcId="{E273B316-8541-4262-B1DD-8AB4D3F33389}" destId="{E21CADC9-10DA-43CF-8FE5-578DD22ABC62}" srcOrd="1" destOrd="0" presId="urn:microsoft.com/office/officeart/2005/8/layout/orgChart1"/>
    <dgm:cxn modelId="{37CBF715-7CBF-4590-90D4-D61F5FF7A136}" type="presParOf" srcId="{E21CADC9-10DA-43CF-8FE5-578DD22ABC62}" destId="{C567E60D-0820-4782-AF1D-C973DF64C95F}" srcOrd="0" destOrd="0" presId="urn:microsoft.com/office/officeart/2005/8/layout/orgChart1"/>
    <dgm:cxn modelId="{009387C7-8058-486C-BD09-5DE67B8EC5D8}" type="presParOf" srcId="{C567E60D-0820-4782-AF1D-C973DF64C95F}" destId="{A4FCBB11-592E-445A-A7A3-6DCEE591362D}" srcOrd="0" destOrd="0" presId="urn:microsoft.com/office/officeart/2005/8/layout/orgChart1"/>
    <dgm:cxn modelId="{62D42FCE-5E2E-4B1B-BA9B-096B12D245B0}" type="presParOf" srcId="{C567E60D-0820-4782-AF1D-C973DF64C95F}" destId="{B5AE971A-0188-4BFC-9BAC-EC8B0BB4F506}" srcOrd="1" destOrd="0" presId="urn:microsoft.com/office/officeart/2005/8/layout/orgChart1"/>
    <dgm:cxn modelId="{C9B8A5CD-713F-427A-AFEE-7778F5481712}" type="presParOf" srcId="{E21CADC9-10DA-43CF-8FE5-578DD22ABC62}" destId="{E8318D03-B0DD-4972-955F-3DE060A28424}" srcOrd="1" destOrd="0" presId="urn:microsoft.com/office/officeart/2005/8/layout/orgChart1"/>
    <dgm:cxn modelId="{57E1AD25-40E4-4CC5-9FDD-9AD88F4E4AC5}" type="presParOf" srcId="{E21CADC9-10DA-43CF-8FE5-578DD22ABC62}" destId="{3888801D-5870-44FA-BDD0-2806D1288B0B}" srcOrd="2" destOrd="0" presId="urn:microsoft.com/office/officeart/2005/8/layout/orgChart1"/>
    <dgm:cxn modelId="{C11C07CF-7D9E-4B56-B0DD-A0ABE612EACF}" type="presParOf" srcId="{E273B316-8541-4262-B1DD-8AB4D3F33389}" destId="{D8169E92-1CB7-42A8-B52C-539C55FD0BA4}" srcOrd="2" destOrd="0" presId="urn:microsoft.com/office/officeart/2005/8/layout/orgChart1"/>
    <dgm:cxn modelId="{989ADFD4-8E7A-4851-BE78-5BC8F4C79216}" type="presParOf" srcId="{E273B316-8541-4262-B1DD-8AB4D3F33389}" destId="{63D2B186-73D6-47A1-98C9-D20889F8175F}" srcOrd="3" destOrd="0" presId="urn:microsoft.com/office/officeart/2005/8/layout/orgChart1"/>
    <dgm:cxn modelId="{BB72B785-07C7-4311-B8CB-C065B1F8326B}" type="presParOf" srcId="{63D2B186-73D6-47A1-98C9-D20889F8175F}" destId="{301470A8-E52D-4199-9E27-BA960A177C90}" srcOrd="0" destOrd="0" presId="urn:microsoft.com/office/officeart/2005/8/layout/orgChart1"/>
    <dgm:cxn modelId="{A93F1CE5-3269-408A-A490-EFDADD7DFC08}" type="presParOf" srcId="{301470A8-E52D-4199-9E27-BA960A177C90}" destId="{E0D7C74B-7383-4426-81E9-B0286FC15202}" srcOrd="0" destOrd="0" presId="urn:microsoft.com/office/officeart/2005/8/layout/orgChart1"/>
    <dgm:cxn modelId="{32D92584-0163-4B21-9503-4E48C47588A1}" type="presParOf" srcId="{301470A8-E52D-4199-9E27-BA960A177C90}" destId="{28C5085E-1B9B-4351-B5A2-13718F877C41}" srcOrd="1" destOrd="0" presId="urn:microsoft.com/office/officeart/2005/8/layout/orgChart1"/>
    <dgm:cxn modelId="{7E91DEA0-4AAA-4A97-8DBF-1471755A4D3D}" type="presParOf" srcId="{63D2B186-73D6-47A1-98C9-D20889F8175F}" destId="{748E2D8E-0286-4718-B83D-7B1E58BF19AA}" srcOrd="1" destOrd="0" presId="urn:microsoft.com/office/officeart/2005/8/layout/orgChart1"/>
    <dgm:cxn modelId="{8CFBE3D4-47FD-4AF1-BF2F-5D232661F203}" type="presParOf" srcId="{63D2B186-73D6-47A1-98C9-D20889F8175F}" destId="{A8CAB6E1-7B80-4006-A231-C6D3DDFD01E5}" srcOrd="2" destOrd="0" presId="urn:microsoft.com/office/officeart/2005/8/layout/orgChart1"/>
    <dgm:cxn modelId="{0BC688BB-D672-4771-AC0F-3977817A270D}" type="presParOf" srcId="{E273B316-8541-4262-B1DD-8AB4D3F33389}" destId="{3E25D8A3-3ADD-416D-84B3-FC2BA60D7833}" srcOrd="4" destOrd="0" presId="urn:microsoft.com/office/officeart/2005/8/layout/orgChart1"/>
    <dgm:cxn modelId="{97DDD6F0-43EE-4C40-A3A8-410A2DAA76BF}" type="presParOf" srcId="{E273B316-8541-4262-B1DD-8AB4D3F33389}" destId="{85BBA256-2AEE-4D18-8D0A-2DF3D9EE3D7A}" srcOrd="5" destOrd="0" presId="urn:microsoft.com/office/officeart/2005/8/layout/orgChart1"/>
    <dgm:cxn modelId="{EF8FBBC3-79F0-430F-BF93-106251BC5EE9}" type="presParOf" srcId="{85BBA256-2AEE-4D18-8D0A-2DF3D9EE3D7A}" destId="{EA643F6B-D66C-4F62-85BF-7F677D42AD79}" srcOrd="0" destOrd="0" presId="urn:microsoft.com/office/officeart/2005/8/layout/orgChart1"/>
    <dgm:cxn modelId="{815CD873-786A-494C-872B-02297FC331D4}" type="presParOf" srcId="{EA643F6B-D66C-4F62-85BF-7F677D42AD79}" destId="{AD178156-4FB1-49D7-A90E-2DE3C82AFFBD}" srcOrd="0" destOrd="0" presId="urn:microsoft.com/office/officeart/2005/8/layout/orgChart1"/>
    <dgm:cxn modelId="{F6E053EF-8192-4A64-AE87-2E324201AB34}" type="presParOf" srcId="{EA643F6B-D66C-4F62-85BF-7F677D42AD79}" destId="{2AFE6BB0-37A7-4568-9C8F-7025DB6FDCA3}" srcOrd="1" destOrd="0" presId="urn:microsoft.com/office/officeart/2005/8/layout/orgChart1"/>
    <dgm:cxn modelId="{83E65ADC-13BE-443F-A99E-5B798905016B}" type="presParOf" srcId="{85BBA256-2AEE-4D18-8D0A-2DF3D9EE3D7A}" destId="{45AB5B6D-2384-47CC-AD1F-77FB7712078D}" srcOrd="1" destOrd="0" presId="urn:microsoft.com/office/officeart/2005/8/layout/orgChart1"/>
    <dgm:cxn modelId="{E3D42EE3-36F2-4E78-8F43-C0EF576E518C}" type="presParOf" srcId="{85BBA256-2AEE-4D18-8D0A-2DF3D9EE3D7A}" destId="{B3E90735-CC52-46E1-A340-05D152F2C713}" srcOrd="2" destOrd="0" presId="urn:microsoft.com/office/officeart/2005/8/layout/orgChart1"/>
    <dgm:cxn modelId="{D8A7FF08-65FE-4C97-B95D-8DC2232CFCF6}" type="presParOf" srcId="{2D6AEE9D-4FF5-4C2C-8D47-BB9A57125852}" destId="{77D86858-B4B0-4F18-B923-218E92F24285}" srcOrd="2" destOrd="0" presId="urn:microsoft.com/office/officeart/2005/8/layout/orgChart1"/>
    <dgm:cxn modelId="{AF7E5E1D-A8B0-4310-B72A-9F14D31F1A08}" type="presParOf" srcId="{0BFCBC33-D050-4286-A1C2-CE4B077F0DCD}" destId="{F88C4DB4-2F9A-41DC-9636-1969AA9F5921}" srcOrd="8" destOrd="0" presId="urn:microsoft.com/office/officeart/2005/8/layout/orgChart1"/>
    <dgm:cxn modelId="{6E3F4992-873C-4CD7-8D5F-4AD8A62E1011}" type="presParOf" srcId="{0BFCBC33-D050-4286-A1C2-CE4B077F0DCD}" destId="{E1043A21-CDA2-4697-BAB8-0936FAD5FDF4}" srcOrd="9" destOrd="0" presId="urn:microsoft.com/office/officeart/2005/8/layout/orgChart1"/>
    <dgm:cxn modelId="{20B54E54-1FAA-4140-A0CF-D343D9A884CF}" type="presParOf" srcId="{E1043A21-CDA2-4697-BAB8-0936FAD5FDF4}" destId="{2F6276F1-CB2B-4D2D-B37E-5D914DF3C296}" srcOrd="0" destOrd="0" presId="urn:microsoft.com/office/officeart/2005/8/layout/orgChart1"/>
    <dgm:cxn modelId="{080E295F-8F28-4C58-830E-34DAC79FF75F}" type="presParOf" srcId="{2F6276F1-CB2B-4D2D-B37E-5D914DF3C296}" destId="{6F22A782-CB09-4909-A6C0-6F6FAC2C0F33}" srcOrd="0" destOrd="0" presId="urn:microsoft.com/office/officeart/2005/8/layout/orgChart1"/>
    <dgm:cxn modelId="{88A5F576-DCCA-46C0-89EA-050554FA2592}" type="presParOf" srcId="{2F6276F1-CB2B-4D2D-B37E-5D914DF3C296}" destId="{3A425C85-456A-4441-A8F9-85FA3E10611D}" srcOrd="1" destOrd="0" presId="urn:microsoft.com/office/officeart/2005/8/layout/orgChart1"/>
    <dgm:cxn modelId="{0025F88C-B537-45C9-A006-B9E8DBB570C5}" type="presParOf" srcId="{E1043A21-CDA2-4697-BAB8-0936FAD5FDF4}" destId="{6055ED0D-03A0-46CB-A91E-EEC805D05CEF}" srcOrd="1" destOrd="0" presId="urn:microsoft.com/office/officeart/2005/8/layout/orgChart1"/>
    <dgm:cxn modelId="{E329CF7A-200D-40D9-8AEF-59AA403D23E1}" type="presParOf" srcId="{6055ED0D-03A0-46CB-A91E-EEC805D05CEF}" destId="{8EA8659D-3A47-4632-82BB-C74651F511E9}" srcOrd="0" destOrd="0" presId="urn:microsoft.com/office/officeart/2005/8/layout/orgChart1"/>
    <dgm:cxn modelId="{9368B8B9-FC04-4389-B792-E3581D9CE097}" type="presParOf" srcId="{6055ED0D-03A0-46CB-A91E-EEC805D05CEF}" destId="{ED0304E7-6F74-42E9-ABD5-A12F13E9A125}" srcOrd="1" destOrd="0" presId="urn:microsoft.com/office/officeart/2005/8/layout/orgChart1"/>
    <dgm:cxn modelId="{8BF60CBE-ED57-4DE4-9061-09300B56DDBE}" type="presParOf" srcId="{ED0304E7-6F74-42E9-ABD5-A12F13E9A125}" destId="{2A7B7E49-E25E-49D1-A83A-5A99DA0324D8}" srcOrd="0" destOrd="0" presId="urn:microsoft.com/office/officeart/2005/8/layout/orgChart1"/>
    <dgm:cxn modelId="{A3C057AA-4FB6-40C7-A7F6-BC849D837C5E}" type="presParOf" srcId="{2A7B7E49-E25E-49D1-A83A-5A99DA0324D8}" destId="{82BB8643-EE7A-4C3B-96DE-90A6D2242298}" srcOrd="0" destOrd="0" presId="urn:microsoft.com/office/officeart/2005/8/layout/orgChart1"/>
    <dgm:cxn modelId="{3CB0576C-F50D-42E3-A994-0FFCAC7003D1}" type="presParOf" srcId="{2A7B7E49-E25E-49D1-A83A-5A99DA0324D8}" destId="{9EF8547B-2B04-4418-8E29-08800EAFCB9C}" srcOrd="1" destOrd="0" presId="urn:microsoft.com/office/officeart/2005/8/layout/orgChart1"/>
    <dgm:cxn modelId="{B01F1697-EB0F-4D53-85B5-4EC9BCF2FC80}" type="presParOf" srcId="{ED0304E7-6F74-42E9-ABD5-A12F13E9A125}" destId="{A93E1856-78D3-426A-96ED-A0473BD3FDED}" srcOrd="1" destOrd="0" presId="urn:microsoft.com/office/officeart/2005/8/layout/orgChart1"/>
    <dgm:cxn modelId="{C515A282-90D0-43FE-87A3-891999B36A45}" type="presParOf" srcId="{ED0304E7-6F74-42E9-ABD5-A12F13E9A125}" destId="{687CE919-07E8-4E9D-BF97-A547ABD073F5}" srcOrd="2" destOrd="0" presId="urn:microsoft.com/office/officeart/2005/8/layout/orgChart1"/>
    <dgm:cxn modelId="{84EB76D8-9496-41ED-AF71-C1CD2EF769F5}" type="presParOf" srcId="{6055ED0D-03A0-46CB-A91E-EEC805D05CEF}" destId="{6E1A0B20-0568-42A8-95AC-F941D2850DFB}" srcOrd="2" destOrd="0" presId="urn:microsoft.com/office/officeart/2005/8/layout/orgChart1"/>
    <dgm:cxn modelId="{378A4812-25A7-4B8E-B547-BD5723386E78}" type="presParOf" srcId="{6055ED0D-03A0-46CB-A91E-EEC805D05CEF}" destId="{CD79FB82-E338-4A3D-9102-084C0E5AEC57}" srcOrd="3" destOrd="0" presId="urn:microsoft.com/office/officeart/2005/8/layout/orgChart1"/>
    <dgm:cxn modelId="{1556581D-8C01-4DD7-9E6B-EDF8543C8D50}" type="presParOf" srcId="{CD79FB82-E338-4A3D-9102-084C0E5AEC57}" destId="{E61506CE-8CE9-4978-9B98-B7DA7897C83F}" srcOrd="0" destOrd="0" presId="urn:microsoft.com/office/officeart/2005/8/layout/orgChart1"/>
    <dgm:cxn modelId="{2EBDB1E7-2D6D-468F-A29A-98066B515A42}" type="presParOf" srcId="{E61506CE-8CE9-4978-9B98-B7DA7897C83F}" destId="{C506D87D-2D2C-4A19-AA19-8070A38616DC}" srcOrd="0" destOrd="0" presId="urn:microsoft.com/office/officeart/2005/8/layout/orgChart1"/>
    <dgm:cxn modelId="{BF839EC1-04B1-48E2-B5EF-F90358A57937}" type="presParOf" srcId="{E61506CE-8CE9-4978-9B98-B7DA7897C83F}" destId="{F339A598-E8AE-406B-9FB1-947D9727AE66}" srcOrd="1" destOrd="0" presId="urn:microsoft.com/office/officeart/2005/8/layout/orgChart1"/>
    <dgm:cxn modelId="{3C47A91A-98D9-461F-8281-B3CFB87ADC08}" type="presParOf" srcId="{CD79FB82-E338-4A3D-9102-084C0E5AEC57}" destId="{74EAC1F8-254D-4113-B7A5-DEAD89093F09}" srcOrd="1" destOrd="0" presId="urn:microsoft.com/office/officeart/2005/8/layout/orgChart1"/>
    <dgm:cxn modelId="{19EB0599-840C-49C5-A928-F65D38DCF3A1}" type="presParOf" srcId="{CD79FB82-E338-4A3D-9102-084C0E5AEC57}" destId="{C729CFE8-F4BC-4F13-87AA-8EA4A89BE4A3}" srcOrd="2" destOrd="0" presId="urn:microsoft.com/office/officeart/2005/8/layout/orgChart1"/>
    <dgm:cxn modelId="{CE639664-7DDC-49C9-A025-BA213060C5FF}" type="presParOf" srcId="{E1043A21-CDA2-4697-BAB8-0936FAD5FDF4}" destId="{E948A24A-14FD-4A4D-86B1-0AB7D01C1A47}" srcOrd="2" destOrd="0" presId="urn:microsoft.com/office/officeart/2005/8/layout/orgChart1"/>
    <dgm:cxn modelId="{FEDFB35B-F8D1-4769-A62F-5B999D49F447}" type="presParOf" srcId="{0BFCBC33-D050-4286-A1C2-CE4B077F0DCD}" destId="{07F43EFE-E9C6-46EF-9879-B68628414585}" srcOrd="10" destOrd="0" presId="urn:microsoft.com/office/officeart/2005/8/layout/orgChart1"/>
    <dgm:cxn modelId="{F1C35591-174A-49F7-BD21-3A16C9C91012}" type="presParOf" srcId="{0BFCBC33-D050-4286-A1C2-CE4B077F0DCD}" destId="{49831BA3-7861-4036-AD9A-7974D8F4F0F5}" srcOrd="11" destOrd="0" presId="urn:microsoft.com/office/officeart/2005/8/layout/orgChart1"/>
    <dgm:cxn modelId="{A741C675-73C0-4BD8-97F9-039DD60F8378}" type="presParOf" srcId="{49831BA3-7861-4036-AD9A-7974D8F4F0F5}" destId="{9303A810-FBB9-44C6-BA78-51E5AF99C948}" srcOrd="0" destOrd="0" presId="urn:microsoft.com/office/officeart/2005/8/layout/orgChart1"/>
    <dgm:cxn modelId="{E6F5BE02-1EAD-485E-BBCA-C2AE311FD4BB}" type="presParOf" srcId="{9303A810-FBB9-44C6-BA78-51E5AF99C948}" destId="{1B6633F2-DD73-4476-8E7A-2B944827CAEB}" srcOrd="0" destOrd="0" presId="urn:microsoft.com/office/officeart/2005/8/layout/orgChart1"/>
    <dgm:cxn modelId="{8BD5EF07-AAFB-49B4-9A0F-59525D85D48D}" type="presParOf" srcId="{9303A810-FBB9-44C6-BA78-51E5AF99C948}" destId="{664501EE-2DBB-4DC6-BC82-D6DD3839214F}" srcOrd="1" destOrd="0" presId="urn:microsoft.com/office/officeart/2005/8/layout/orgChart1"/>
    <dgm:cxn modelId="{FE8812D4-5EFB-42A5-8D75-22C04750ECEF}" type="presParOf" srcId="{49831BA3-7861-4036-AD9A-7974D8F4F0F5}" destId="{E05ED24E-0866-48EA-BF14-F876F9A7DEDD}" srcOrd="1" destOrd="0" presId="urn:microsoft.com/office/officeart/2005/8/layout/orgChart1"/>
    <dgm:cxn modelId="{0CE0AFDB-647C-4F2D-ABF4-AACCA90343C5}" type="presParOf" srcId="{E05ED24E-0866-48EA-BF14-F876F9A7DEDD}" destId="{F4258529-B320-496D-8657-D9C756F45843}" srcOrd="0" destOrd="0" presId="urn:microsoft.com/office/officeart/2005/8/layout/orgChart1"/>
    <dgm:cxn modelId="{DEAA691F-6732-47E1-9C94-0494B39851F1}" type="presParOf" srcId="{E05ED24E-0866-48EA-BF14-F876F9A7DEDD}" destId="{25E51C60-48BD-4086-89D0-182A72A6DBAA}" srcOrd="1" destOrd="0" presId="urn:microsoft.com/office/officeart/2005/8/layout/orgChart1"/>
    <dgm:cxn modelId="{8DD2040F-0A97-4301-A116-C1667D78A9CA}" type="presParOf" srcId="{25E51C60-48BD-4086-89D0-182A72A6DBAA}" destId="{38DAFC55-F573-4CEA-B995-D9428EC1C2C6}" srcOrd="0" destOrd="0" presId="urn:microsoft.com/office/officeart/2005/8/layout/orgChart1"/>
    <dgm:cxn modelId="{4F26B7E9-1C8E-4318-8C25-AE0A165CDAF9}" type="presParOf" srcId="{38DAFC55-F573-4CEA-B995-D9428EC1C2C6}" destId="{DEA754EC-101B-4607-8A62-78CC03ACADC2}" srcOrd="0" destOrd="0" presId="urn:microsoft.com/office/officeart/2005/8/layout/orgChart1"/>
    <dgm:cxn modelId="{454EB8E8-BC1A-4708-8F51-E7612E8E63A8}" type="presParOf" srcId="{38DAFC55-F573-4CEA-B995-D9428EC1C2C6}" destId="{620C4DB9-1D14-40EB-A3B5-D4D88EDF5358}" srcOrd="1" destOrd="0" presId="urn:microsoft.com/office/officeart/2005/8/layout/orgChart1"/>
    <dgm:cxn modelId="{232684C8-0394-4D7F-98FF-2D64025BF6B4}" type="presParOf" srcId="{25E51C60-48BD-4086-89D0-182A72A6DBAA}" destId="{183413BB-17D4-4D1B-BC5F-AF9728491341}" srcOrd="1" destOrd="0" presId="urn:microsoft.com/office/officeart/2005/8/layout/orgChart1"/>
    <dgm:cxn modelId="{CAED2433-EB2F-4BC3-BB0F-FC88318D1C16}" type="presParOf" srcId="{25E51C60-48BD-4086-89D0-182A72A6DBAA}" destId="{892FD172-1BF6-45CA-B8FA-23A990642C0A}" srcOrd="2" destOrd="0" presId="urn:microsoft.com/office/officeart/2005/8/layout/orgChart1"/>
    <dgm:cxn modelId="{E610E821-29BA-4D59-877B-20961CB114CD}" type="presParOf" srcId="{E05ED24E-0866-48EA-BF14-F876F9A7DEDD}" destId="{78E89890-86CE-48B2-ACD1-20EAB4E88D0D}" srcOrd="2" destOrd="0" presId="urn:microsoft.com/office/officeart/2005/8/layout/orgChart1"/>
    <dgm:cxn modelId="{5023D866-BC9D-491E-A559-2001229CBD53}" type="presParOf" srcId="{E05ED24E-0866-48EA-BF14-F876F9A7DEDD}" destId="{CE563535-E2A1-4C15-B481-0042CCCF8EE3}" srcOrd="3" destOrd="0" presId="urn:microsoft.com/office/officeart/2005/8/layout/orgChart1"/>
    <dgm:cxn modelId="{157565D6-5AD2-407F-AE30-4EA7B9ABB5EA}" type="presParOf" srcId="{CE563535-E2A1-4C15-B481-0042CCCF8EE3}" destId="{6178B015-A752-49C8-B528-DC0CD0295056}" srcOrd="0" destOrd="0" presId="urn:microsoft.com/office/officeart/2005/8/layout/orgChart1"/>
    <dgm:cxn modelId="{2E1791FF-99AE-48E6-A548-550B31628E36}" type="presParOf" srcId="{6178B015-A752-49C8-B528-DC0CD0295056}" destId="{8F0FDAB8-C913-4406-979B-B67AD56C95F3}" srcOrd="0" destOrd="0" presId="urn:microsoft.com/office/officeart/2005/8/layout/orgChart1"/>
    <dgm:cxn modelId="{F3671DF2-1C97-4E40-9C2D-6430774F1703}" type="presParOf" srcId="{6178B015-A752-49C8-B528-DC0CD0295056}" destId="{42497CF5-7703-4229-B171-E503F4198644}" srcOrd="1" destOrd="0" presId="urn:microsoft.com/office/officeart/2005/8/layout/orgChart1"/>
    <dgm:cxn modelId="{89193B82-BD2D-4F2A-8D6E-F5BC53E541FB}" type="presParOf" srcId="{CE563535-E2A1-4C15-B481-0042CCCF8EE3}" destId="{44B82C24-1921-4A06-A364-CD5DEBC29828}" srcOrd="1" destOrd="0" presId="urn:microsoft.com/office/officeart/2005/8/layout/orgChart1"/>
    <dgm:cxn modelId="{B8AB7188-10C8-4304-A97D-3C0EBD1052EB}" type="presParOf" srcId="{CE563535-E2A1-4C15-B481-0042CCCF8EE3}" destId="{B4062BF6-969C-497B-8FA5-E3664A1DACDC}" srcOrd="2" destOrd="0" presId="urn:microsoft.com/office/officeart/2005/8/layout/orgChart1"/>
    <dgm:cxn modelId="{EAA5981B-C01F-4267-875A-29F90B41D684}" type="presParOf" srcId="{49831BA3-7861-4036-AD9A-7974D8F4F0F5}" destId="{BFDEDC4C-4F43-4E7A-AE74-0ECF83E2F95C}" srcOrd="2" destOrd="0" presId="urn:microsoft.com/office/officeart/2005/8/layout/orgChart1"/>
    <dgm:cxn modelId="{04AB8575-77CE-4B72-B6D7-8AC1DDFE5554}" type="presParOf" srcId="{83AFF851-9305-49E8-B966-F4DBEC8E43B1}" destId="{C86720F8-A9FF-448E-BE26-66E976FAEF89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8E89890-86CE-48B2-ACD1-20EAB4E88D0D}">
      <dsp:nvSpPr>
        <dsp:cNvPr id="0" name=""/>
        <dsp:cNvSpPr/>
      </dsp:nvSpPr>
      <dsp:spPr>
        <a:xfrm>
          <a:off x="6763466" y="949489"/>
          <a:ext cx="117314" cy="9150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5055"/>
              </a:lnTo>
              <a:lnTo>
                <a:pt x="117314" y="91505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258529-B320-496D-8657-D9C756F45843}">
      <dsp:nvSpPr>
        <dsp:cNvPr id="0" name=""/>
        <dsp:cNvSpPr/>
      </dsp:nvSpPr>
      <dsp:spPr>
        <a:xfrm>
          <a:off x="6763466" y="949489"/>
          <a:ext cx="117314" cy="3597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9765"/>
              </a:lnTo>
              <a:lnTo>
                <a:pt x="117314" y="35976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F43EFE-E9C6-46EF-9879-B68628414585}">
      <dsp:nvSpPr>
        <dsp:cNvPr id="0" name=""/>
        <dsp:cNvSpPr/>
      </dsp:nvSpPr>
      <dsp:spPr>
        <a:xfrm>
          <a:off x="4710457" y="394199"/>
          <a:ext cx="2365848" cy="16424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120"/>
              </a:lnTo>
              <a:lnTo>
                <a:pt x="2365848" y="82120"/>
              </a:lnTo>
              <a:lnTo>
                <a:pt x="2365848" y="164240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1A0B20-0568-42A8-95AC-F941D2850DFB}">
      <dsp:nvSpPr>
        <dsp:cNvPr id="0" name=""/>
        <dsp:cNvSpPr/>
      </dsp:nvSpPr>
      <dsp:spPr>
        <a:xfrm>
          <a:off x="5817127" y="949489"/>
          <a:ext cx="117314" cy="9150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5055"/>
              </a:lnTo>
              <a:lnTo>
                <a:pt x="117314" y="91505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A8659D-3A47-4632-82BB-C74651F511E9}">
      <dsp:nvSpPr>
        <dsp:cNvPr id="0" name=""/>
        <dsp:cNvSpPr/>
      </dsp:nvSpPr>
      <dsp:spPr>
        <a:xfrm>
          <a:off x="5817127" y="949489"/>
          <a:ext cx="117314" cy="3597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9765"/>
              </a:lnTo>
              <a:lnTo>
                <a:pt x="117314" y="35976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8C4DB4-2F9A-41DC-9636-1969AA9F5921}">
      <dsp:nvSpPr>
        <dsp:cNvPr id="0" name=""/>
        <dsp:cNvSpPr/>
      </dsp:nvSpPr>
      <dsp:spPr>
        <a:xfrm>
          <a:off x="4710457" y="394199"/>
          <a:ext cx="1419509" cy="16424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120"/>
              </a:lnTo>
              <a:lnTo>
                <a:pt x="1419509" y="82120"/>
              </a:lnTo>
              <a:lnTo>
                <a:pt x="1419509" y="164240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25D8A3-3ADD-416D-84B3-FC2BA60D7833}">
      <dsp:nvSpPr>
        <dsp:cNvPr id="0" name=""/>
        <dsp:cNvSpPr/>
      </dsp:nvSpPr>
      <dsp:spPr>
        <a:xfrm>
          <a:off x="4870787" y="949489"/>
          <a:ext cx="117314" cy="1470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0345"/>
              </a:lnTo>
              <a:lnTo>
                <a:pt x="117314" y="147034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169E92-1CB7-42A8-B52C-539C55FD0BA4}">
      <dsp:nvSpPr>
        <dsp:cNvPr id="0" name=""/>
        <dsp:cNvSpPr/>
      </dsp:nvSpPr>
      <dsp:spPr>
        <a:xfrm>
          <a:off x="4870787" y="949489"/>
          <a:ext cx="117314" cy="9150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5055"/>
              </a:lnTo>
              <a:lnTo>
                <a:pt x="117314" y="91505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21D86C-E348-4048-9651-225AD00E7188}">
      <dsp:nvSpPr>
        <dsp:cNvPr id="0" name=""/>
        <dsp:cNvSpPr/>
      </dsp:nvSpPr>
      <dsp:spPr>
        <a:xfrm>
          <a:off x="4870787" y="949489"/>
          <a:ext cx="117314" cy="3597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9765"/>
              </a:lnTo>
              <a:lnTo>
                <a:pt x="117314" y="35976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5E15DC-C145-4030-A5F1-0106D99ADC9C}">
      <dsp:nvSpPr>
        <dsp:cNvPr id="0" name=""/>
        <dsp:cNvSpPr/>
      </dsp:nvSpPr>
      <dsp:spPr>
        <a:xfrm>
          <a:off x="4710457" y="394199"/>
          <a:ext cx="473169" cy="16424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120"/>
              </a:lnTo>
              <a:lnTo>
                <a:pt x="473169" y="82120"/>
              </a:lnTo>
              <a:lnTo>
                <a:pt x="473169" y="164240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9391FA-CE19-4AED-B9FC-D4F0444C3791}">
      <dsp:nvSpPr>
        <dsp:cNvPr id="0" name=""/>
        <dsp:cNvSpPr/>
      </dsp:nvSpPr>
      <dsp:spPr>
        <a:xfrm>
          <a:off x="3924448" y="949489"/>
          <a:ext cx="117314" cy="1470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0345"/>
              </a:lnTo>
              <a:lnTo>
                <a:pt x="117314" y="147034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CD3EF55-AAB5-4343-8418-698E60D28D5F}">
      <dsp:nvSpPr>
        <dsp:cNvPr id="0" name=""/>
        <dsp:cNvSpPr/>
      </dsp:nvSpPr>
      <dsp:spPr>
        <a:xfrm>
          <a:off x="3924448" y="949489"/>
          <a:ext cx="117314" cy="9150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5055"/>
              </a:lnTo>
              <a:lnTo>
                <a:pt x="117314" y="91505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1804591-E6A3-47CD-8153-731BF6693F19}">
      <dsp:nvSpPr>
        <dsp:cNvPr id="0" name=""/>
        <dsp:cNvSpPr/>
      </dsp:nvSpPr>
      <dsp:spPr>
        <a:xfrm>
          <a:off x="3924448" y="949489"/>
          <a:ext cx="117314" cy="3597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9765"/>
              </a:lnTo>
              <a:lnTo>
                <a:pt x="117314" y="35976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1B1FEDF-8071-42AE-A935-C06E0A959EBE}">
      <dsp:nvSpPr>
        <dsp:cNvPr id="0" name=""/>
        <dsp:cNvSpPr/>
      </dsp:nvSpPr>
      <dsp:spPr>
        <a:xfrm>
          <a:off x="4237287" y="394199"/>
          <a:ext cx="473169" cy="164240"/>
        </a:xfrm>
        <a:custGeom>
          <a:avLst/>
          <a:gdLst/>
          <a:ahLst/>
          <a:cxnLst/>
          <a:rect l="0" t="0" r="0" b="0"/>
          <a:pathLst>
            <a:path>
              <a:moveTo>
                <a:pt x="473169" y="0"/>
              </a:moveTo>
              <a:lnTo>
                <a:pt x="473169" y="82120"/>
              </a:lnTo>
              <a:lnTo>
                <a:pt x="0" y="82120"/>
              </a:lnTo>
              <a:lnTo>
                <a:pt x="0" y="164240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7E29F4-1086-4926-B205-07DCA084D8D2}">
      <dsp:nvSpPr>
        <dsp:cNvPr id="0" name=""/>
        <dsp:cNvSpPr/>
      </dsp:nvSpPr>
      <dsp:spPr>
        <a:xfrm>
          <a:off x="2978108" y="949489"/>
          <a:ext cx="117314" cy="42467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46796"/>
              </a:lnTo>
              <a:lnTo>
                <a:pt x="117314" y="4246796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9B7AF3-5105-4EAE-908E-8B3594DF0FDE}">
      <dsp:nvSpPr>
        <dsp:cNvPr id="0" name=""/>
        <dsp:cNvSpPr/>
      </dsp:nvSpPr>
      <dsp:spPr>
        <a:xfrm>
          <a:off x="2978108" y="949489"/>
          <a:ext cx="117314" cy="36915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91506"/>
              </a:lnTo>
              <a:lnTo>
                <a:pt x="117314" y="3691506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49B4B0-6399-4292-BD38-D413FFCB6395}">
      <dsp:nvSpPr>
        <dsp:cNvPr id="0" name=""/>
        <dsp:cNvSpPr/>
      </dsp:nvSpPr>
      <dsp:spPr>
        <a:xfrm>
          <a:off x="2978108" y="949489"/>
          <a:ext cx="117314" cy="313621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36216"/>
              </a:lnTo>
              <a:lnTo>
                <a:pt x="117314" y="3136216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4EDB20-0C87-4E8D-A6B3-3E517BACEDF9}">
      <dsp:nvSpPr>
        <dsp:cNvPr id="0" name=""/>
        <dsp:cNvSpPr/>
      </dsp:nvSpPr>
      <dsp:spPr>
        <a:xfrm>
          <a:off x="2978108" y="949489"/>
          <a:ext cx="117314" cy="258092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80925"/>
              </a:lnTo>
              <a:lnTo>
                <a:pt x="117314" y="258092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DA17D9-432E-4980-9EEC-00BEDBCF2950}">
      <dsp:nvSpPr>
        <dsp:cNvPr id="0" name=""/>
        <dsp:cNvSpPr/>
      </dsp:nvSpPr>
      <dsp:spPr>
        <a:xfrm>
          <a:off x="2978108" y="949489"/>
          <a:ext cx="117314" cy="20256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25635"/>
              </a:lnTo>
              <a:lnTo>
                <a:pt x="117314" y="202563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E54461-BE29-4045-A53D-6B8C0EFF2644}">
      <dsp:nvSpPr>
        <dsp:cNvPr id="0" name=""/>
        <dsp:cNvSpPr/>
      </dsp:nvSpPr>
      <dsp:spPr>
        <a:xfrm>
          <a:off x="2978108" y="949489"/>
          <a:ext cx="117314" cy="1470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0345"/>
              </a:lnTo>
              <a:lnTo>
                <a:pt x="117314" y="147034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D00E18-23D5-4B48-B077-EE469E00D6F1}">
      <dsp:nvSpPr>
        <dsp:cNvPr id="0" name=""/>
        <dsp:cNvSpPr/>
      </dsp:nvSpPr>
      <dsp:spPr>
        <a:xfrm>
          <a:off x="2978108" y="949489"/>
          <a:ext cx="117314" cy="9150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5055"/>
              </a:lnTo>
              <a:lnTo>
                <a:pt x="117314" y="91505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3D31387-0CC3-42D9-9B6B-3ECFAE397FCA}">
      <dsp:nvSpPr>
        <dsp:cNvPr id="0" name=""/>
        <dsp:cNvSpPr/>
      </dsp:nvSpPr>
      <dsp:spPr>
        <a:xfrm>
          <a:off x="2978108" y="949489"/>
          <a:ext cx="117314" cy="3597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9765"/>
              </a:lnTo>
              <a:lnTo>
                <a:pt x="117314" y="35976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0F6C460-5DE6-4C2A-A34F-A257D046A47D}">
      <dsp:nvSpPr>
        <dsp:cNvPr id="0" name=""/>
        <dsp:cNvSpPr/>
      </dsp:nvSpPr>
      <dsp:spPr>
        <a:xfrm>
          <a:off x="3290948" y="394199"/>
          <a:ext cx="1419509" cy="164240"/>
        </a:xfrm>
        <a:custGeom>
          <a:avLst/>
          <a:gdLst/>
          <a:ahLst/>
          <a:cxnLst/>
          <a:rect l="0" t="0" r="0" b="0"/>
          <a:pathLst>
            <a:path>
              <a:moveTo>
                <a:pt x="1419509" y="0"/>
              </a:moveTo>
              <a:lnTo>
                <a:pt x="1419509" y="82120"/>
              </a:lnTo>
              <a:lnTo>
                <a:pt x="0" y="82120"/>
              </a:lnTo>
              <a:lnTo>
                <a:pt x="0" y="164240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AFC06A-D3DE-439F-92EE-CF5B87921D2D}">
      <dsp:nvSpPr>
        <dsp:cNvPr id="0" name=""/>
        <dsp:cNvSpPr/>
      </dsp:nvSpPr>
      <dsp:spPr>
        <a:xfrm>
          <a:off x="2031769" y="949489"/>
          <a:ext cx="117314" cy="42467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46796"/>
              </a:lnTo>
              <a:lnTo>
                <a:pt x="117314" y="4246796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C9B2FD-5026-450C-BCFB-C37D283D1B90}">
      <dsp:nvSpPr>
        <dsp:cNvPr id="0" name=""/>
        <dsp:cNvSpPr/>
      </dsp:nvSpPr>
      <dsp:spPr>
        <a:xfrm>
          <a:off x="2031769" y="949489"/>
          <a:ext cx="117314" cy="36915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91506"/>
              </a:lnTo>
              <a:lnTo>
                <a:pt x="117314" y="3691506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6BF692-4E74-46EF-8EB7-572B179CE4DE}">
      <dsp:nvSpPr>
        <dsp:cNvPr id="0" name=""/>
        <dsp:cNvSpPr/>
      </dsp:nvSpPr>
      <dsp:spPr>
        <a:xfrm>
          <a:off x="2031769" y="949489"/>
          <a:ext cx="117314" cy="313621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36216"/>
              </a:lnTo>
              <a:lnTo>
                <a:pt x="117314" y="3136216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21E57D-1C39-4595-B2AE-A7D574E00514}">
      <dsp:nvSpPr>
        <dsp:cNvPr id="0" name=""/>
        <dsp:cNvSpPr/>
      </dsp:nvSpPr>
      <dsp:spPr>
        <a:xfrm>
          <a:off x="2031769" y="949489"/>
          <a:ext cx="117314" cy="258092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80925"/>
              </a:lnTo>
              <a:lnTo>
                <a:pt x="117314" y="258092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0032A54-61C1-4496-843D-D43B7D5F036E}">
      <dsp:nvSpPr>
        <dsp:cNvPr id="0" name=""/>
        <dsp:cNvSpPr/>
      </dsp:nvSpPr>
      <dsp:spPr>
        <a:xfrm>
          <a:off x="2031769" y="949489"/>
          <a:ext cx="117314" cy="20256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25635"/>
              </a:lnTo>
              <a:lnTo>
                <a:pt x="117314" y="202563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52739B-2F25-49E7-8760-EC85E8F374F6}">
      <dsp:nvSpPr>
        <dsp:cNvPr id="0" name=""/>
        <dsp:cNvSpPr/>
      </dsp:nvSpPr>
      <dsp:spPr>
        <a:xfrm>
          <a:off x="2031769" y="949489"/>
          <a:ext cx="117314" cy="14703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0345"/>
              </a:lnTo>
              <a:lnTo>
                <a:pt x="117314" y="147034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68AE57-8C55-46E6-BAAB-31671799D38C}">
      <dsp:nvSpPr>
        <dsp:cNvPr id="0" name=""/>
        <dsp:cNvSpPr/>
      </dsp:nvSpPr>
      <dsp:spPr>
        <a:xfrm>
          <a:off x="2031769" y="949489"/>
          <a:ext cx="117314" cy="9150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5055"/>
              </a:lnTo>
              <a:lnTo>
                <a:pt x="117314" y="91505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DFBCFD-3F88-4634-9620-B99227736F66}">
      <dsp:nvSpPr>
        <dsp:cNvPr id="0" name=""/>
        <dsp:cNvSpPr/>
      </dsp:nvSpPr>
      <dsp:spPr>
        <a:xfrm>
          <a:off x="2031769" y="949489"/>
          <a:ext cx="117314" cy="3597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9765"/>
              </a:lnTo>
              <a:lnTo>
                <a:pt x="117314" y="359765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FD7B8A-3A1A-4E56-B36D-9A412BF7207C}">
      <dsp:nvSpPr>
        <dsp:cNvPr id="0" name=""/>
        <dsp:cNvSpPr/>
      </dsp:nvSpPr>
      <dsp:spPr>
        <a:xfrm>
          <a:off x="2344608" y="394199"/>
          <a:ext cx="2365848" cy="164240"/>
        </a:xfrm>
        <a:custGeom>
          <a:avLst/>
          <a:gdLst/>
          <a:ahLst/>
          <a:cxnLst/>
          <a:rect l="0" t="0" r="0" b="0"/>
          <a:pathLst>
            <a:path>
              <a:moveTo>
                <a:pt x="2365848" y="0"/>
              </a:moveTo>
              <a:lnTo>
                <a:pt x="2365848" y="82120"/>
              </a:lnTo>
              <a:lnTo>
                <a:pt x="0" y="82120"/>
              </a:lnTo>
              <a:lnTo>
                <a:pt x="0" y="164240"/>
              </a:lnTo>
            </a:path>
          </a:pathLst>
        </a:custGeom>
        <a:noFill/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CAED5E-3DE0-482B-AB7E-87BE6098197C}">
      <dsp:nvSpPr>
        <dsp:cNvPr id="0" name=""/>
        <dsp:cNvSpPr/>
      </dsp:nvSpPr>
      <dsp:spPr>
        <a:xfrm>
          <a:off x="4319408" y="3149"/>
          <a:ext cx="782098" cy="391049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Augusto</a:t>
          </a:r>
        </a:p>
      </dsp:txBody>
      <dsp:txXfrm>
        <a:off x="4319408" y="3149"/>
        <a:ext cx="782098" cy="391049"/>
      </dsp:txXfrm>
    </dsp:sp>
    <dsp:sp modelId="{DC1698E8-772B-4CF1-AAA6-DF4E65B2036F}">
      <dsp:nvSpPr>
        <dsp:cNvPr id="0" name=""/>
        <dsp:cNvSpPr/>
      </dsp:nvSpPr>
      <dsp:spPr>
        <a:xfrm>
          <a:off x="1953559" y="558439"/>
          <a:ext cx="782098" cy="391049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Priscila Calvelhe</a:t>
          </a:r>
        </a:p>
      </dsp:txBody>
      <dsp:txXfrm>
        <a:off x="1953559" y="558439"/>
        <a:ext cx="782098" cy="391049"/>
      </dsp:txXfrm>
    </dsp:sp>
    <dsp:sp modelId="{DA2FC0F8-87AB-462F-AEC0-593FFEDB6773}">
      <dsp:nvSpPr>
        <dsp:cNvPr id="0" name=""/>
        <dsp:cNvSpPr/>
      </dsp:nvSpPr>
      <dsp:spPr>
        <a:xfrm>
          <a:off x="2149084" y="1113729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Victória</a:t>
          </a:r>
        </a:p>
      </dsp:txBody>
      <dsp:txXfrm>
        <a:off x="2149084" y="1113729"/>
        <a:ext cx="782098" cy="391049"/>
      </dsp:txXfrm>
    </dsp:sp>
    <dsp:sp modelId="{EAEA55D8-D361-48AC-87C5-E96ACA46A398}">
      <dsp:nvSpPr>
        <dsp:cNvPr id="0" name=""/>
        <dsp:cNvSpPr/>
      </dsp:nvSpPr>
      <dsp:spPr>
        <a:xfrm>
          <a:off x="2149084" y="166902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Jéssica</a:t>
          </a:r>
        </a:p>
      </dsp:txBody>
      <dsp:txXfrm>
        <a:off x="2149084" y="1669020"/>
        <a:ext cx="782098" cy="391049"/>
      </dsp:txXfrm>
    </dsp:sp>
    <dsp:sp modelId="{833323BE-6E62-4DCA-91D9-640740CB24B3}">
      <dsp:nvSpPr>
        <dsp:cNvPr id="0" name=""/>
        <dsp:cNvSpPr/>
      </dsp:nvSpPr>
      <dsp:spPr>
        <a:xfrm>
          <a:off x="2149084" y="222431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Janete</a:t>
          </a:r>
        </a:p>
      </dsp:txBody>
      <dsp:txXfrm>
        <a:off x="2149084" y="2224310"/>
        <a:ext cx="782098" cy="391049"/>
      </dsp:txXfrm>
    </dsp:sp>
    <dsp:sp modelId="{9C905CA5-10D8-4F04-A0F1-0F9D9008B6C9}">
      <dsp:nvSpPr>
        <dsp:cNvPr id="0" name=""/>
        <dsp:cNvSpPr/>
      </dsp:nvSpPr>
      <dsp:spPr>
        <a:xfrm>
          <a:off x="2149084" y="277960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Adriana</a:t>
          </a:r>
        </a:p>
      </dsp:txBody>
      <dsp:txXfrm>
        <a:off x="2149084" y="2779600"/>
        <a:ext cx="782098" cy="391049"/>
      </dsp:txXfrm>
    </dsp:sp>
    <dsp:sp modelId="{F339375A-571B-46E0-9BCF-10B20599A32A}">
      <dsp:nvSpPr>
        <dsp:cNvPr id="0" name=""/>
        <dsp:cNvSpPr/>
      </dsp:nvSpPr>
      <dsp:spPr>
        <a:xfrm>
          <a:off x="2149084" y="333489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Dayane</a:t>
          </a:r>
        </a:p>
      </dsp:txBody>
      <dsp:txXfrm>
        <a:off x="2149084" y="3334890"/>
        <a:ext cx="782098" cy="391049"/>
      </dsp:txXfrm>
    </dsp:sp>
    <dsp:sp modelId="{63A59E8D-B040-4D3C-9ACE-FE13B88C13EF}">
      <dsp:nvSpPr>
        <dsp:cNvPr id="0" name=""/>
        <dsp:cNvSpPr/>
      </dsp:nvSpPr>
      <dsp:spPr>
        <a:xfrm>
          <a:off x="2149084" y="389018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Elisângela</a:t>
          </a:r>
        </a:p>
      </dsp:txBody>
      <dsp:txXfrm>
        <a:off x="2149084" y="3890180"/>
        <a:ext cx="782098" cy="391049"/>
      </dsp:txXfrm>
    </dsp:sp>
    <dsp:sp modelId="{54956330-9F93-49DF-9F7D-CFA755B93E68}">
      <dsp:nvSpPr>
        <dsp:cNvPr id="0" name=""/>
        <dsp:cNvSpPr/>
      </dsp:nvSpPr>
      <dsp:spPr>
        <a:xfrm>
          <a:off x="2149084" y="444547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Eduarda</a:t>
          </a:r>
        </a:p>
      </dsp:txBody>
      <dsp:txXfrm>
        <a:off x="2149084" y="4445470"/>
        <a:ext cx="782098" cy="391049"/>
      </dsp:txXfrm>
    </dsp:sp>
    <dsp:sp modelId="{AEF58A5D-431A-4872-B7AE-D7D704CDFA29}">
      <dsp:nvSpPr>
        <dsp:cNvPr id="0" name=""/>
        <dsp:cNvSpPr/>
      </dsp:nvSpPr>
      <dsp:spPr>
        <a:xfrm>
          <a:off x="2149084" y="500076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Merchandising</a:t>
          </a:r>
        </a:p>
      </dsp:txBody>
      <dsp:txXfrm>
        <a:off x="2149084" y="5000760"/>
        <a:ext cx="782098" cy="391049"/>
      </dsp:txXfrm>
    </dsp:sp>
    <dsp:sp modelId="{C331CBE8-AB2D-4500-864D-5E36898C1BCE}">
      <dsp:nvSpPr>
        <dsp:cNvPr id="0" name=""/>
        <dsp:cNvSpPr/>
      </dsp:nvSpPr>
      <dsp:spPr>
        <a:xfrm>
          <a:off x="2899898" y="558439"/>
          <a:ext cx="782098" cy="391049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Cristiane Pagano</a:t>
          </a:r>
        </a:p>
      </dsp:txBody>
      <dsp:txXfrm>
        <a:off x="2899898" y="558439"/>
        <a:ext cx="782098" cy="391049"/>
      </dsp:txXfrm>
    </dsp:sp>
    <dsp:sp modelId="{078BA1D6-D0AC-403A-9BB6-90D719304C95}">
      <dsp:nvSpPr>
        <dsp:cNvPr id="0" name=""/>
        <dsp:cNvSpPr/>
      </dsp:nvSpPr>
      <dsp:spPr>
        <a:xfrm>
          <a:off x="3095423" y="1113729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Júlio</a:t>
          </a:r>
        </a:p>
      </dsp:txBody>
      <dsp:txXfrm>
        <a:off x="3095423" y="1113729"/>
        <a:ext cx="782098" cy="391049"/>
      </dsp:txXfrm>
    </dsp:sp>
    <dsp:sp modelId="{A5D57E41-9FF4-4123-8DA8-D9CAE456B158}">
      <dsp:nvSpPr>
        <dsp:cNvPr id="0" name=""/>
        <dsp:cNvSpPr/>
      </dsp:nvSpPr>
      <dsp:spPr>
        <a:xfrm>
          <a:off x="3095423" y="166902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Jonas</a:t>
          </a:r>
        </a:p>
      </dsp:txBody>
      <dsp:txXfrm>
        <a:off x="3095423" y="1669020"/>
        <a:ext cx="782098" cy="391049"/>
      </dsp:txXfrm>
    </dsp:sp>
    <dsp:sp modelId="{37C78485-9DF9-4E2F-9A79-20D0A59183F1}">
      <dsp:nvSpPr>
        <dsp:cNvPr id="0" name=""/>
        <dsp:cNvSpPr/>
      </dsp:nvSpPr>
      <dsp:spPr>
        <a:xfrm>
          <a:off x="3095423" y="222431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Rosângela</a:t>
          </a:r>
        </a:p>
      </dsp:txBody>
      <dsp:txXfrm>
        <a:off x="3095423" y="2224310"/>
        <a:ext cx="782098" cy="391049"/>
      </dsp:txXfrm>
    </dsp:sp>
    <dsp:sp modelId="{E42B7B73-E967-4B79-BC3D-3F50F191349D}">
      <dsp:nvSpPr>
        <dsp:cNvPr id="0" name=""/>
        <dsp:cNvSpPr/>
      </dsp:nvSpPr>
      <dsp:spPr>
        <a:xfrm>
          <a:off x="3095423" y="277960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Thiana</a:t>
          </a:r>
        </a:p>
      </dsp:txBody>
      <dsp:txXfrm>
        <a:off x="3095423" y="2779600"/>
        <a:ext cx="782098" cy="391049"/>
      </dsp:txXfrm>
    </dsp:sp>
    <dsp:sp modelId="{146EBF6B-B2EE-432D-8C92-932C9C0E76B3}">
      <dsp:nvSpPr>
        <dsp:cNvPr id="0" name=""/>
        <dsp:cNvSpPr/>
      </dsp:nvSpPr>
      <dsp:spPr>
        <a:xfrm>
          <a:off x="3095423" y="333489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Janaína</a:t>
          </a:r>
        </a:p>
      </dsp:txBody>
      <dsp:txXfrm>
        <a:off x="3095423" y="3334890"/>
        <a:ext cx="782098" cy="391049"/>
      </dsp:txXfrm>
    </dsp:sp>
    <dsp:sp modelId="{C4AE23C5-C7B4-4BC7-B9C2-507CF3103D3A}">
      <dsp:nvSpPr>
        <dsp:cNvPr id="0" name=""/>
        <dsp:cNvSpPr/>
      </dsp:nvSpPr>
      <dsp:spPr>
        <a:xfrm>
          <a:off x="3095423" y="389018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Jemerson</a:t>
          </a:r>
        </a:p>
      </dsp:txBody>
      <dsp:txXfrm>
        <a:off x="3095423" y="3890180"/>
        <a:ext cx="782098" cy="391049"/>
      </dsp:txXfrm>
    </dsp:sp>
    <dsp:sp modelId="{AC2D6CC2-D55A-4D83-A157-2808454054F1}">
      <dsp:nvSpPr>
        <dsp:cNvPr id="0" name=""/>
        <dsp:cNvSpPr/>
      </dsp:nvSpPr>
      <dsp:spPr>
        <a:xfrm>
          <a:off x="3095423" y="444547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Emilly</a:t>
          </a:r>
        </a:p>
      </dsp:txBody>
      <dsp:txXfrm>
        <a:off x="3095423" y="4445470"/>
        <a:ext cx="782098" cy="391049"/>
      </dsp:txXfrm>
    </dsp:sp>
    <dsp:sp modelId="{1C3D8AE5-0313-41D1-8F4B-23FB984360EE}">
      <dsp:nvSpPr>
        <dsp:cNvPr id="0" name=""/>
        <dsp:cNvSpPr/>
      </dsp:nvSpPr>
      <dsp:spPr>
        <a:xfrm>
          <a:off x="3095423" y="500076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Mariana</a:t>
          </a:r>
        </a:p>
      </dsp:txBody>
      <dsp:txXfrm>
        <a:off x="3095423" y="5000760"/>
        <a:ext cx="782098" cy="391049"/>
      </dsp:txXfrm>
    </dsp:sp>
    <dsp:sp modelId="{3738F56F-BA36-434B-B58C-8D485EF3C430}">
      <dsp:nvSpPr>
        <dsp:cNvPr id="0" name=""/>
        <dsp:cNvSpPr/>
      </dsp:nvSpPr>
      <dsp:spPr>
        <a:xfrm>
          <a:off x="3846238" y="558439"/>
          <a:ext cx="782098" cy="391049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Amanda Lopes</a:t>
          </a:r>
        </a:p>
      </dsp:txBody>
      <dsp:txXfrm>
        <a:off x="3846238" y="558439"/>
        <a:ext cx="782098" cy="391049"/>
      </dsp:txXfrm>
    </dsp:sp>
    <dsp:sp modelId="{592FD2E2-5729-46E7-87AE-D7B6353D7644}">
      <dsp:nvSpPr>
        <dsp:cNvPr id="0" name=""/>
        <dsp:cNvSpPr/>
      </dsp:nvSpPr>
      <dsp:spPr>
        <a:xfrm>
          <a:off x="4041763" y="1113729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Vinícius</a:t>
          </a:r>
        </a:p>
      </dsp:txBody>
      <dsp:txXfrm>
        <a:off x="4041763" y="1113729"/>
        <a:ext cx="782098" cy="391049"/>
      </dsp:txXfrm>
    </dsp:sp>
    <dsp:sp modelId="{256C9800-EC49-4C2C-8A9F-F4DFFEB5B57F}">
      <dsp:nvSpPr>
        <dsp:cNvPr id="0" name=""/>
        <dsp:cNvSpPr/>
      </dsp:nvSpPr>
      <dsp:spPr>
        <a:xfrm>
          <a:off x="4041763" y="166902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Caio</a:t>
          </a:r>
        </a:p>
      </dsp:txBody>
      <dsp:txXfrm>
        <a:off x="4041763" y="1669020"/>
        <a:ext cx="782098" cy="391049"/>
      </dsp:txXfrm>
    </dsp:sp>
    <dsp:sp modelId="{90120405-F645-4526-9DD3-772057D93D7A}">
      <dsp:nvSpPr>
        <dsp:cNvPr id="0" name=""/>
        <dsp:cNvSpPr/>
      </dsp:nvSpPr>
      <dsp:spPr>
        <a:xfrm>
          <a:off x="4041763" y="222431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Artur</a:t>
          </a:r>
        </a:p>
      </dsp:txBody>
      <dsp:txXfrm>
        <a:off x="4041763" y="2224310"/>
        <a:ext cx="782098" cy="391049"/>
      </dsp:txXfrm>
    </dsp:sp>
    <dsp:sp modelId="{5B17259D-0608-41D3-BC19-F0D24A4FF925}">
      <dsp:nvSpPr>
        <dsp:cNvPr id="0" name=""/>
        <dsp:cNvSpPr/>
      </dsp:nvSpPr>
      <dsp:spPr>
        <a:xfrm>
          <a:off x="4792578" y="558439"/>
          <a:ext cx="782098" cy="391049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Gestor de e-commerce</a:t>
          </a:r>
        </a:p>
      </dsp:txBody>
      <dsp:txXfrm>
        <a:off x="4792578" y="558439"/>
        <a:ext cx="782098" cy="391049"/>
      </dsp:txXfrm>
    </dsp:sp>
    <dsp:sp modelId="{A4FCBB11-592E-445A-A7A3-6DCEE591362D}">
      <dsp:nvSpPr>
        <dsp:cNvPr id="0" name=""/>
        <dsp:cNvSpPr/>
      </dsp:nvSpPr>
      <dsp:spPr>
        <a:xfrm>
          <a:off x="4988102" y="1113729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Ana Cláudia</a:t>
          </a:r>
        </a:p>
      </dsp:txBody>
      <dsp:txXfrm>
        <a:off x="4988102" y="1113729"/>
        <a:ext cx="782098" cy="391049"/>
      </dsp:txXfrm>
    </dsp:sp>
    <dsp:sp modelId="{E0D7C74B-7383-4426-81E9-B0286FC15202}">
      <dsp:nvSpPr>
        <dsp:cNvPr id="0" name=""/>
        <dsp:cNvSpPr/>
      </dsp:nvSpPr>
      <dsp:spPr>
        <a:xfrm>
          <a:off x="4988102" y="166902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Gustavo</a:t>
          </a:r>
        </a:p>
      </dsp:txBody>
      <dsp:txXfrm>
        <a:off x="4988102" y="1669020"/>
        <a:ext cx="782098" cy="391049"/>
      </dsp:txXfrm>
    </dsp:sp>
    <dsp:sp modelId="{AD178156-4FB1-49D7-A90E-2DE3C82AFFBD}">
      <dsp:nvSpPr>
        <dsp:cNvPr id="0" name=""/>
        <dsp:cNvSpPr/>
      </dsp:nvSpPr>
      <dsp:spPr>
        <a:xfrm>
          <a:off x="4988102" y="222431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Juliene</a:t>
          </a:r>
        </a:p>
      </dsp:txBody>
      <dsp:txXfrm>
        <a:off x="4988102" y="2224310"/>
        <a:ext cx="782098" cy="391049"/>
      </dsp:txXfrm>
    </dsp:sp>
    <dsp:sp modelId="{6F22A782-CB09-4909-A6C0-6F6FAC2C0F33}">
      <dsp:nvSpPr>
        <dsp:cNvPr id="0" name=""/>
        <dsp:cNvSpPr/>
      </dsp:nvSpPr>
      <dsp:spPr>
        <a:xfrm>
          <a:off x="5738917" y="558439"/>
          <a:ext cx="782098" cy="391049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Gestor de exportação</a:t>
          </a:r>
        </a:p>
      </dsp:txBody>
      <dsp:txXfrm>
        <a:off x="5738917" y="558439"/>
        <a:ext cx="782098" cy="391049"/>
      </dsp:txXfrm>
    </dsp:sp>
    <dsp:sp modelId="{82BB8643-EE7A-4C3B-96DE-90A6D2242298}">
      <dsp:nvSpPr>
        <dsp:cNvPr id="0" name=""/>
        <dsp:cNvSpPr/>
      </dsp:nvSpPr>
      <dsp:spPr>
        <a:xfrm>
          <a:off x="5934442" y="1113729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Grazielli</a:t>
          </a:r>
        </a:p>
      </dsp:txBody>
      <dsp:txXfrm>
        <a:off x="5934442" y="1113729"/>
        <a:ext cx="782098" cy="391049"/>
      </dsp:txXfrm>
    </dsp:sp>
    <dsp:sp modelId="{C506D87D-2D2C-4A19-AA19-8070A38616DC}">
      <dsp:nvSpPr>
        <dsp:cNvPr id="0" name=""/>
        <dsp:cNvSpPr/>
      </dsp:nvSpPr>
      <dsp:spPr>
        <a:xfrm>
          <a:off x="5934442" y="166902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Amanda Sousa</a:t>
          </a:r>
        </a:p>
      </dsp:txBody>
      <dsp:txXfrm>
        <a:off x="5934442" y="1669020"/>
        <a:ext cx="782098" cy="391049"/>
      </dsp:txXfrm>
    </dsp:sp>
    <dsp:sp modelId="{1B6633F2-DD73-4476-8E7A-2B944827CAEB}">
      <dsp:nvSpPr>
        <dsp:cNvPr id="0" name=""/>
        <dsp:cNvSpPr/>
      </dsp:nvSpPr>
      <dsp:spPr>
        <a:xfrm>
          <a:off x="6685257" y="558439"/>
          <a:ext cx="782098" cy="391049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Sílvia Laliny</a:t>
          </a:r>
        </a:p>
      </dsp:txBody>
      <dsp:txXfrm>
        <a:off x="6685257" y="558439"/>
        <a:ext cx="782098" cy="391049"/>
      </dsp:txXfrm>
    </dsp:sp>
    <dsp:sp modelId="{DEA754EC-101B-4607-8A62-78CC03ACADC2}">
      <dsp:nvSpPr>
        <dsp:cNvPr id="0" name=""/>
        <dsp:cNvSpPr/>
      </dsp:nvSpPr>
      <dsp:spPr>
        <a:xfrm>
          <a:off x="6880781" y="1113729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Júlia</a:t>
          </a:r>
        </a:p>
      </dsp:txBody>
      <dsp:txXfrm>
        <a:off x="6880781" y="1113729"/>
        <a:ext cx="782098" cy="391049"/>
      </dsp:txXfrm>
    </dsp:sp>
    <dsp:sp modelId="{8F0FDAB8-C913-4406-979B-B67AD56C95F3}">
      <dsp:nvSpPr>
        <dsp:cNvPr id="0" name=""/>
        <dsp:cNvSpPr/>
      </dsp:nvSpPr>
      <dsp:spPr>
        <a:xfrm>
          <a:off x="6880781" y="1669020"/>
          <a:ext cx="782098" cy="391049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000" kern="1200"/>
            <a:t>Yasmin</a:t>
          </a:r>
        </a:p>
      </dsp:txBody>
      <dsp:txXfrm>
        <a:off x="6880781" y="1669020"/>
        <a:ext cx="782098" cy="39104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144780</xdr:rowOff>
    </xdr:from>
    <xdr:to>
      <xdr:col>15</xdr:col>
      <xdr:colOff>601980</xdr:colOff>
      <xdr:row>30</xdr:row>
      <xdr:rowOff>53340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1FFDF895-A2E8-4C3F-8EBD-AB3653752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3"/>
  <sheetViews>
    <sheetView showGridLines="0" zoomScaleNormal="100" workbookViewId="0">
      <selection activeCell="C17" sqref="C17"/>
    </sheetView>
  </sheetViews>
  <sheetFormatPr defaultColWidth="8.6640625" defaultRowHeight="14.4" x14ac:dyDescent="0.3"/>
  <cols>
    <col min="2" max="2" width="16.21875" customWidth="1"/>
    <col min="3" max="3" width="14.5546875" customWidth="1"/>
    <col min="4" max="4" width="15.88671875" customWidth="1"/>
    <col min="5" max="5" width="2.44140625" customWidth="1"/>
    <col min="6" max="6" width="24.44140625" customWidth="1"/>
    <col min="7" max="7" width="10.21875" customWidth="1"/>
    <col min="8" max="8" width="17.44140625" customWidth="1"/>
    <col min="9" max="9" width="2.44140625" customWidth="1"/>
    <col min="10" max="10" width="22.33203125" customWidth="1"/>
    <col min="11" max="11" width="8.33203125" customWidth="1"/>
    <col min="12" max="12" width="2.44140625" customWidth="1"/>
    <col min="13" max="13" width="11.88671875" customWidth="1"/>
    <col min="14" max="14" width="2.44140625" customWidth="1"/>
    <col min="15" max="15" width="13.44140625" customWidth="1"/>
    <col min="16" max="16" width="2.44140625" customWidth="1"/>
    <col min="17" max="17" width="10.77734375" customWidth="1"/>
    <col min="18" max="18" width="1.88671875" customWidth="1"/>
    <col min="19" max="19" width="15.44140625" customWidth="1"/>
  </cols>
  <sheetData>
    <row r="1" spans="2:19" ht="15" customHeight="1" x14ac:dyDescent="0.3"/>
    <row r="2" spans="2:19" ht="32.25" customHeight="1" x14ac:dyDescent="0.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4" t="s">
        <v>1</v>
      </c>
    </row>
    <row r="3" spans="2:19" ht="17.25" customHeight="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9" ht="16.5" customHeight="1" x14ac:dyDescent="0.3">
      <c r="B4" s="2" t="s">
        <v>2</v>
      </c>
      <c r="C4" s="2"/>
      <c r="D4" s="2"/>
      <c r="E4" s="5"/>
      <c r="F4" s="2" t="s">
        <v>3</v>
      </c>
      <c r="G4" s="2"/>
      <c r="H4" s="2"/>
      <c r="I4" s="5"/>
      <c r="J4" s="2" t="s">
        <v>4</v>
      </c>
      <c r="K4" s="2"/>
      <c r="L4" s="5"/>
      <c r="M4" s="2" t="s">
        <v>5</v>
      </c>
      <c r="N4" s="5"/>
      <c r="O4" s="2" t="s">
        <v>6</v>
      </c>
      <c r="P4" s="5"/>
      <c r="Q4" s="2" t="s">
        <v>7</v>
      </c>
      <c r="S4" s="1" t="s">
        <v>8</v>
      </c>
    </row>
    <row r="5" spans="2:19" ht="18" customHeight="1" x14ac:dyDescent="0.3">
      <c r="B5" s="2"/>
      <c r="C5" s="2"/>
      <c r="D5" s="2"/>
      <c r="E5" s="5"/>
      <c r="F5" s="2"/>
      <c r="G5" s="2"/>
      <c r="H5" s="2"/>
      <c r="I5" s="5"/>
      <c r="J5" s="2"/>
      <c r="K5" s="2"/>
      <c r="L5" s="5"/>
      <c r="M5" s="2"/>
      <c r="N5" s="5"/>
      <c r="O5" s="2"/>
      <c r="P5" s="5"/>
      <c r="Q5" s="2"/>
      <c r="S5" s="1"/>
    </row>
    <row r="6" spans="2:19" ht="18" customHeight="1" x14ac:dyDescent="0.3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S6" s="5"/>
    </row>
    <row r="7" spans="2:19" ht="18" customHeight="1" x14ac:dyDescent="0.3">
      <c r="B7" s="6" t="s">
        <v>9</v>
      </c>
      <c r="C7" s="6" t="s">
        <v>10</v>
      </c>
      <c r="D7" s="6" t="s">
        <v>11</v>
      </c>
      <c r="E7" s="5"/>
      <c r="F7" s="7" t="s">
        <v>12</v>
      </c>
      <c r="G7" s="7" t="s">
        <v>13</v>
      </c>
      <c r="H7" s="7" t="s">
        <v>14</v>
      </c>
      <c r="I7" s="5"/>
      <c r="J7" s="7" t="s">
        <v>15</v>
      </c>
      <c r="K7" s="7" t="s">
        <v>16</v>
      </c>
      <c r="L7" s="5"/>
      <c r="M7" s="7" t="s">
        <v>17</v>
      </c>
      <c r="N7" s="5"/>
      <c r="O7" s="7" t="s">
        <v>18</v>
      </c>
      <c r="P7" s="5"/>
      <c r="Q7" s="7" t="s">
        <v>19</v>
      </c>
      <c r="S7" s="8" t="s">
        <v>20</v>
      </c>
    </row>
    <row r="8" spans="2:19" s="9" customFormat="1" ht="51" customHeight="1" x14ac:dyDescent="0.3">
      <c r="B8" s="10" t="s">
        <v>21</v>
      </c>
      <c r="C8" s="10" t="s">
        <v>22</v>
      </c>
      <c r="D8" s="10" t="s">
        <v>23</v>
      </c>
      <c r="E8" s="11"/>
      <c r="F8" s="12" t="s">
        <v>24</v>
      </c>
      <c r="G8" s="12" t="s">
        <v>25</v>
      </c>
      <c r="H8" s="12" t="s">
        <v>26</v>
      </c>
      <c r="I8" s="11"/>
      <c r="J8" s="12" t="s">
        <v>27</v>
      </c>
      <c r="K8" s="12"/>
      <c r="L8" s="11"/>
      <c r="M8" s="12"/>
      <c r="N8" s="11"/>
      <c r="O8" s="12" t="s">
        <v>28</v>
      </c>
      <c r="P8" s="11"/>
      <c r="Q8" s="12" t="s">
        <v>29</v>
      </c>
      <c r="S8" s="13" t="s">
        <v>30</v>
      </c>
    </row>
    <row r="9" spans="2:19" s="9" customFormat="1" ht="51" customHeight="1" x14ac:dyDescent="0.3">
      <c r="B9" s="14" t="s">
        <v>31</v>
      </c>
      <c r="C9" s="14" t="s">
        <v>32</v>
      </c>
      <c r="D9" s="14" t="s">
        <v>33</v>
      </c>
      <c r="E9" s="11"/>
      <c r="F9" s="5"/>
      <c r="G9" s="5"/>
      <c r="H9" s="5"/>
      <c r="I9" s="11"/>
      <c r="J9" s="15"/>
      <c r="K9" s="5"/>
      <c r="L9" s="11"/>
      <c r="M9" s="5"/>
      <c r="N9" s="11"/>
      <c r="O9" s="5"/>
      <c r="P9" s="11"/>
      <c r="Q9" s="11"/>
    </row>
    <row r="12" spans="2:19" ht="14.25" customHeight="1" x14ac:dyDescent="0.3"/>
    <row r="13" spans="2:19" ht="15" customHeight="1" x14ac:dyDescent="0.3"/>
  </sheetData>
  <mergeCells count="8">
    <mergeCell ref="S4:S5"/>
    <mergeCell ref="B2:Q2"/>
    <mergeCell ref="B4:D5"/>
    <mergeCell ref="F4:H5"/>
    <mergeCell ref="J4:K5"/>
    <mergeCell ref="M4:M5"/>
    <mergeCell ref="O4:O5"/>
    <mergeCell ref="Q4:Q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AC0B-19E1-4545-A13C-12F5CC8E2D4C}">
  <dimension ref="A1"/>
  <sheetViews>
    <sheetView showGridLines="0" workbookViewId="0">
      <selection activeCell="S9" sqref="S9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V55"/>
  <sheetViews>
    <sheetView showGridLines="0" tabSelected="1" zoomScaleNormal="100" workbookViewId="0">
      <pane xSplit="2" ySplit="6" topLeftCell="C7" activePane="bottomRight" state="frozen"/>
      <selection pane="topRight" activeCell="I1" sqref="I1"/>
      <selection pane="bottomLeft" activeCell="A7" sqref="A7"/>
      <selection pane="bottomRight" activeCell="G6" sqref="G6"/>
    </sheetView>
  </sheetViews>
  <sheetFormatPr defaultColWidth="24" defaultRowHeight="13.8" x14ac:dyDescent="0.3"/>
  <cols>
    <col min="1" max="1" width="3.77734375" style="16" customWidth="1"/>
    <col min="2" max="2" width="24.88671875" style="16" customWidth="1"/>
    <col min="3" max="3" width="16" style="16" customWidth="1"/>
    <col min="4" max="4" width="20.109375" style="16" bestFit="1" customWidth="1"/>
    <col min="5" max="5" width="15.21875" style="16" customWidth="1"/>
    <col min="6" max="6" width="18.6640625" style="16" bestFit="1" customWidth="1"/>
    <col min="7" max="7" width="42" style="16" customWidth="1"/>
    <col min="8" max="8" width="46" style="16" customWidth="1"/>
    <col min="9" max="9" width="20.21875" style="16" customWidth="1"/>
    <col min="10" max="10" width="30.44140625" style="16" customWidth="1"/>
    <col min="11" max="11" width="23.44140625" style="16" customWidth="1"/>
    <col min="12" max="12" width="15" style="16" customWidth="1"/>
    <col min="13" max="13" width="17.44140625" style="16" customWidth="1"/>
    <col min="14" max="14" width="16.88671875" style="16" customWidth="1"/>
    <col min="15" max="15" width="22.77734375" style="16" customWidth="1"/>
    <col min="16" max="16" width="24.21875" style="16" customWidth="1"/>
    <col min="17" max="17" width="20" style="17" customWidth="1"/>
    <col min="18" max="21" width="17.88671875" style="16" customWidth="1"/>
    <col min="22" max="16384" width="24" style="16"/>
  </cols>
  <sheetData>
    <row r="3" spans="2:22" x14ac:dyDescent="0.3">
      <c r="S3" s="18">
        <f>SUBTOTAL(9,S6:S53)*12</f>
        <v>187632000</v>
      </c>
      <c r="T3" s="18">
        <f>SUBTOTAL(9,T6:T53)*12</f>
        <v>225158400</v>
      </c>
      <c r="U3" s="18">
        <f>SUBTOTAL(9,U6:U53)*12</f>
        <v>270190080</v>
      </c>
      <c r="V3" s="18">
        <f>SUBTOTAL(9,V6:V53)*12</f>
        <v>324228096</v>
      </c>
    </row>
    <row r="4" spans="2:22" ht="3" customHeight="1" x14ac:dyDescent="0.3">
      <c r="S4" s="19">
        <v>1.2</v>
      </c>
      <c r="T4" s="19">
        <v>1.2</v>
      </c>
      <c r="U4" s="19">
        <v>1.2</v>
      </c>
      <c r="V4" s="19">
        <v>1.2</v>
      </c>
    </row>
    <row r="5" spans="2:22" s="21" customFormat="1" ht="42" customHeight="1" x14ac:dyDescent="0.3">
      <c r="B5" s="20" t="s">
        <v>34</v>
      </c>
      <c r="C5" s="20" t="s">
        <v>35</v>
      </c>
      <c r="D5" s="20" t="s">
        <v>36</v>
      </c>
      <c r="E5" s="20" t="s">
        <v>37</v>
      </c>
      <c r="F5" s="20" t="s">
        <v>38</v>
      </c>
      <c r="G5" s="20" t="s">
        <v>39</v>
      </c>
      <c r="H5" s="20" t="s">
        <v>40</v>
      </c>
      <c r="I5" s="20" t="s">
        <v>41</v>
      </c>
      <c r="J5" s="20" t="s">
        <v>42</v>
      </c>
      <c r="K5" s="20" t="s">
        <v>43</v>
      </c>
      <c r="L5" s="20" t="s">
        <v>44</v>
      </c>
      <c r="M5" s="20" t="s">
        <v>45</v>
      </c>
      <c r="N5" s="20" t="s">
        <v>46</v>
      </c>
      <c r="O5" s="20" t="s">
        <v>47</v>
      </c>
      <c r="P5" s="20" t="s">
        <v>48</v>
      </c>
      <c r="Q5" s="20" t="s">
        <v>49</v>
      </c>
      <c r="R5" s="20" t="s">
        <v>50</v>
      </c>
      <c r="S5" s="20">
        <v>2027</v>
      </c>
      <c r="T5" s="20">
        <v>2028</v>
      </c>
      <c r="U5" s="20">
        <v>2029</v>
      </c>
      <c r="V5" s="20">
        <v>2030</v>
      </c>
    </row>
    <row r="6" spans="2:22" ht="54.75" customHeight="1" x14ac:dyDescent="0.3">
      <c r="B6" s="16" t="s">
        <v>180</v>
      </c>
      <c r="C6" s="18">
        <v>0</v>
      </c>
      <c r="D6" s="16" t="s">
        <v>51</v>
      </c>
      <c r="E6" s="16" t="s">
        <v>51</v>
      </c>
      <c r="F6" s="16" t="s">
        <v>52</v>
      </c>
      <c r="G6" s="22" t="s">
        <v>53</v>
      </c>
      <c r="H6" s="22" t="s">
        <v>54</v>
      </c>
      <c r="I6" s="22" t="s">
        <v>55</v>
      </c>
      <c r="J6" s="25">
        <v>44287</v>
      </c>
      <c r="K6" s="22"/>
      <c r="L6" s="22"/>
      <c r="M6" s="22"/>
      <c r="N6" s="22"/>
      <c r="O6" s="22"/>
      <c r="P6" s="22"/>
      <c r="Q6" s="22"/>
      <c r="R6" s="23"/>
      <c r="S6" s="23">
        <f t="shared" ref="S6:S49" si="0">R6*$S$4</f>
        <v>0</v>
      </c>
      <c r="T6" s="23">
        <f t="shared" ref="T6:T49" si="1">S6*$T$4</f>
        <v>0</v>
      </c>
      <c r="U6" s="23">
        <f t="shared" ref="U6:U49" si="2">T6*$U$4</f>
        <v>0</v>
      </c>
      <c r="V6" s="23">
        <f t="shared" ref="V6:V49" si="3">U6*$V$4</f>
        <v>0</v>
      </c>
    </row>
    <row r="7" spans="2:22" ht="69" customHeight="1" x14ac:dyDescent="0.3">
      <c r="B7" s="16" t="s">
        <v>181</v>
      </c>
      <c r="C7" s="18">
        <v>0</v>
      </c>
      <c r="D7" s="16" t="s">
        <v>56</v>
      </c>
      <c r="E7" s="16" t="s">
        <v>57</v>
      </c>
      <c r="F7" s="16" t="s">
        <v>58</v>
      </c>
      <c r="G7" s="22" t="s">
        <v>59</v>
      </c>
      <c r="H7" s="22" t="s">
        <v>60</v>
      </c>
      <c r="I7" s="22" t="s">
        <v>61</v>
      </c>
      <c r="J7" s="25">
        <v>42278</v>
      </c>
      <c r="K7" s="22"/>
      <c r="L7" s="22"/>
      <c r="M7" s="22"/>
      <c r="N7" s="22"/>
      <c r="O7" s="22"/>
      <c r="P7" s="22"/>
      <c r="Q7" s="22"/>
      <c r="R7" s="23"/>
      <c r="S7" s="23">
        <f t="shared" si="0"/>
        <v>0</v>
      </c>
      <c r="T7" s="23">
        <f t="shared" si="1"/>
        <v>0</v>
      </c>
      <c r="U7" s="23">
        <f t="shared" si="2"/>
        <v>0</v>
      </c>
      <c r="V7" s="23">
        <f t="shared" si="3"/>
        <v>0</v>
      </c>
    </row>
    <row r="8" spans="2:22" ht="41.25" customHeight="1" x14ac:dyDescent="0.3">
      <c r="B8" s="16" t="s">
        <v>182</v>
      </c>
      <c r="C8" s="18">
        <v>16027.2</v>
      </c>
      <c r="D8" s="16" t="s">
        <v>62</v>
      </c>
      <c r="E8" s="16" t="s">
        <v>63</v>
      </c>
      <c r="F8" s="16" t="s">
        <v>58</v>
      </c>
      <c r="G8" s="22" t="s">
        <v>64</v>
      </c>
      <c r="H8" s="22" t="s">
        <v>65</v>
      </c>
      <c r="I8" s="22" t="s">
        <v>66</v>
      </c>
      <c r="J8" s="25">
        <v>45474</v>
      </c>
      <c r="K8" s="22"/>
      <c r="L8" s="22" t="s">
        <v>67</v>
      </c>
      <c r="M8" s="22" t="s">
        <v>68</v>
      </c>
      <c r="N8" s="22" t="s">
        <v>69</v>
      </c>
      <c r="O8" s="22" t="s">
        <v>70</v>
      </c>
      <c r="P8" s="22"/>
      <c r="Q8" s="22"/>
      <c r="R8" s="23"/>
      <c r="S8" s="23">
        <f t="shared" si="0"/>
        <v>0</v>
      </c>
      <c r="T8" s="23">
        <f t="shared" si="1"/>
        <v>0</v>
      </c>
      <c r="U8" s="23">
        <f t="shared" si="2"/>
        <v>0</v>
      </c>
      <c r="V8" s="23">
        <f t="shared" si="3"/>
        <v>0</v>
      </c>
    </row>
    <row r="9" spans="2:22" ht="54.75" customHeight="1" x14ac:dyDescent="0.3">
      <c r="B9" s="16" t="s">
        <v>183</v>
      </c>
      <c r="C9" s="18">
        <v>3871.5</v>
      </c>
      <c r="D9" s="16" t="s">
        <v>62</v>
      </c>
      <c r="E9" s="16" t="s">
        <v>71</v>
      </c>
      <c r="F9" s="16" t="s">
        <v>72</v>
      </c>
      <c r="G9" s="22" t="s">
        <v>73</v>
      </c>
      <c r="H9" s="22" t="s">
        <v>74</v>
      </c>
      <c r="I9" s="22" t="s">
        <v>75</v>
      </c>
      <c r="J9" s="25">
        <v>44537</v>
      </c>
      <c r="K9" s="22"/>
      <c r="L9" s="22" t="s">
        <v>76</v>
      </c>
      <c r="M9" s="22" t="s">
        <v>77</v>
      </c>
      <c r="N9" s="22" t="s">
        <v>69</v>
      </c>
      <c r="O9" s="22" t="s">
        <v>76</v>
      </c>
      <c r="P9" s="22"/>
      <c r="Q9" s="22"/>
      <c r="R9" s="23">
        <v>600000</v>
      </c>
      <c r="S9" s="23">
        <f t="shared" si="0"/>
        <v>720000</v>
      </c>
      <c r="T9" s="23">
        <f t="shared" si="1"/>
        <v>864000</v>
      </c>
      <c r="U9" s="23">
        <f t="shared" si="2"/>
        <v>1036800</v>
      </c>
      <c r="V9" s="23">
        <f t="shared" si="3"/>
        <v>1244160</v>
      </c>
    </row>
    <row r="10" spans="2:22" ht="54.75" customHeight="1" x14ac:dyDescent="0.3">
      <c r="B10" s="16" t="s">
        <v>184</v>
      </c>
      <c r="C10" s="18">
        <v>3871.5</v>
      </c>
      <c r="D10" s="16" t="s">
        <v>62</v>
      </c>
      <c r="E10" s="16" t="s">
        <v>71</v>
      </c>
      <c r="F10" s="16" t="s">
        <v>72</v>
      </c>
      <c r="G10" s="22" t="s">
        <v>78</v>
      </c>
      <c r="H10" s="22" t="s">
        <v>74</v>
      </c>
      <c r="I10" s="22" t="s">
        <v>75</v>
      </c>
      <c r="J10" s="25">
        <v>45369</v>
      </c>
      <c r="K10" s="22"/>
      <c r="L10" s="22" t="s">
        <v>70</v>
      </c>
      <c r="M10" s="22" t="s">
        <v>77</v>
      </c>
      <c r="N10" s="22" t="s">
        <v>69</v>
      </c>
      <c r="O10" s="22" t="s">
        <v>70</v>
      </c>
      <c r="P10" s="22"/>
      <c r="Q10" s="22"/>
      <c r="R10" s="23">
        <v>290000</v>
      </c>
      <c r="S10" s="23">
        <f t="shared" si="0"/>
        <v>348000</v>
      </c>
      <c r="T10" s="23">
        <f t="shared" si="1"/>
        <v>417600</v>
      </c>
      <c r="U10" s="23">
        <f t="shared" si="2"/>
        <v>501120</v>
      </c>
      <c r="V10" s="23">
        <f t="shared" si="3"/>
        <v>601344</v>
      </c>
    </row>
    <row r="11" spans="2:22" ht="54.75" customHeight="1" x14ac:dyDescent="0.3">
      <c r="B11" s="16" t="s">
        <v>185</v>
      </c>
      <c r="C11" s="18">
        <v>7000</v>
      </c>
      <c r="D11" s="16" t="s">
        <v>62</v>
      </c>
      <c r="E11" s="16" t="s">
        <v>71</v>
      </c>
      <c r="F11" s="16" t="s">
        <v>72</v>
      </c>
      <c r="G11" s="22" t="s">
        <v>79</v>
      </c>
      <c r="H11" s="22" t="s">
        <v>80</v>
      </c>
      <c r="I11" s="22" t="s">
        <v>81</v>
      </c>
      <c r="J11" s="25">
        <v>46090</v>
      </c>
      <c r="K11" s="22"/>
      <c r="L11" s="22" t="s">
        <v>76</v>
      </c>
      <c r="M11" s="22" t="s">
        <v>77</v>
      </c>
      <c r="N11" s="22" t="s">
        <v>69</v>
      </c>
      <c r="O11" s="22" t="s">
        <v>67</v>
      </c>
      <c r="P11" s="22"/>
      <c r="Q11" s="22"/>
      <c r="R11" s="23">
        <v>1100000</v>
      </c>
      <c r="S11" s="23">
        <f t="shared" si="0"/>
        <v>1320000</v>
      </c>
      <c r="T11" s="23">
        <f t="shared" si="1"/>
        <v>1584000</v>
      </c>
      <c r="U11" s="23">
        <f t="shared" si="2"/>
        <v>1900800</v>
      </c>
      <c r="V11" s="23">
        <f t="shared" si="3"/>
        <v>2280960</v>
      </c>
    </row>
    <row r="12" spans="2:22" ht="54.75" customHeight="1" x14ac:dyDescent="0.3">
      <c r="B12" s="16" t="s">
        <v>186</v>
      </c>
      <c r="C12" s="18">
        <v>7500</v>
      </c>
      <c r="D12" s="16" t="s">
        <v>10</v>
      </c>
      <c r="E12" s="16" t="s">
        <v>71</v>
      </c>
      <c r="F12" s="16" t="s">
        <v>72</v>
      </c>
      <c r="G12" s="22" t="s">
        <v>82</v>
      </c>
      <c r="H12" s="22" t="s">
        <v>83</v>
      </c>
      <c r="I12" s="22" t="s">
        <v>84</v>
      </c>
      <c r="J12" s="25">
        <v>46100</v>
      </c>
      <c r="K12" s="22"/>
      <c r="L12" s="22" t="s">
        <v>67</v>
      </c>
      <c r="M12" s="22" t="s">
        <v>77</v>
      </c>
      <c r="N12" s="22" t="s">
        <v>69</v>
      </c>
      <c r="O12" s="22" t="s">
        <v>76</v>
      </c>
      <c r="P12" s="22"/>
      <c r="Q12" s="22"/>
      <c r="R12" s="23">
        <v>200000</v>
      </c>
      <c r="S12" s="23">
        <f t="shared" si="0"/>
        <v>240000</v>
      </c>
      <c r="T12" s="23">
        <f t="shared" si="1"/>
        <v>288000</v>
      </c>
      <c r="U12" s="23">
        <f t="shared" si="2"/>
        <v>345600</v>
      </c>
      <c r="V12" s="23">
        <f t="shared" si="3"/>
        <v>414720</v>
      </c>
    </row>
    <row r="13" spans="2:22" ht="54.75" customHeight="1" x14ac:dyDescent="0.3">
      <c r="B13" s="16" t="s">
        <v>187</v>
      </c>
      <c r="C13" s="18">
        <v>6000</v>
      </c>
      <c r="D13" s="16" t="s">
        <v>62</v>
      </c>
      <c r="E13" s="16" t="s">
        <v>71</v>
      </c>
      <c r="F13" s="16" t="s">
        <v>85</v>
      </c>
      <c r="G13" s="22" t="s">
        <v>79</v>
      </c>
      <c r="H13" s="22" t="s">
        <v>80</v>
      </c>
      <c r="I13" s="22" t="s">
        <v>81</v>
      </c>
      <c r="J13" s="25">
        <v>44228</v>
      </c>
      <c r="K13" s="22"/>
      <c r="L13" s="22" t="s">
        <v>67</v>
      </c>
      <c r="M13" s="22" t="s">
        <v>68</v>
      </c>
      <c r="N13" s="22" t="s">
        <v>69</v>
      </c>
      <c r="O13" s="22" t="s">
        <v>70</v>
      </c>
      <c r="P13" s="22"/>
      <c r="Q13" s="22"/>
      <c r="R13" s="23">
        <v>1000000</v>
      </c>
      <c r="S13" s="23">
        <f t="shared" si="0"/>
        <v>1200000</v>
      </c>
      <c r="T13" s="23">
        <f t="shared" si="1"/>
        <v>1440000</v>
      </c>
      <c r="U13" s="23">
        <f t="shared" si="2"/>
        <v>1728000</v>
      </c>
      <c r="V13" s="23">
        <f t="shared" si="3"/>
        <v>2073600</v>
      </c>
    </row>
    <row r="14" spans="2:22" ht="41.25" customHeight="1" x14ac:dyDescent="0.3">
      <c r="B14" s="16" t="s">
        <v>188</v>
      </c>
      <c r="C14" s="16" t="s">
        <v>86</v>
      </c>
      <c r="D14" s="16" t="s">
        <v>10</v>
      </c>
      <c r="E14" s="16" t="s">
        <v>87</v>
      </c>
      <c r="F14" s="16" t="s">
        <v>88</v>
      </c>
      <c r="G14" s="22" t="s">
        <v>89</v>
      </c>
      <c r="H14" s="22" t="s">
        <v>90</v>
      </c>
      <c r="I14" s="22" t="s">
        <v>91</v>
      </c>
      <c r="J14" s="25"/>
      <c r="K14" s="22"/>
      <c r="L14" s="22"/>
      <c r="M14" s="22"/>
      <c r="N14" s="22"/>
      <c r="O14" s="22"/>
      <c r="P14" s="22"/>
      <c r="Q14" s="22"/>
      <c r="R14" s="23">
        <v>500000</v>
      </c>
      <c r="S14" s="23">
        <f t="shared" si="0"/>
        <v>600000</v>
      </c>
      <c r="T14" s="23">
        <f t="shared" si="1"/>
        <v>720000</v>
      </c>
      <c r="U14" s="23">
        <f t="shared" si="2"/>
        <v>864000</v>
      </c>
      <c r="V14" s="23">
        <f t="shared" si="3"/>
        <v>1036800</v>
      </c>
    </row>
    <row r="15" spans="2:22" ht="41.25" customHeight="1" x14ac:dyDescent="0.3">
      <c r="B15" s="16" t="s">
        <v>189</v>
      </c>
      <c r="C15" s="16" t="s">
        <v>86</v>
      </c>
      <c r="D15" s="16" t="s">
        <v>10</v>
      </c>
      <c r="E15" s="16" t="s">
        <v>87</v>
      </c>
      <c r="F15" s="16" t="s">
        <v>92</v>
      </c>
      <c r="G15" s="22" t="s">
        <v>89</v>
      </c>
      <c r="H15" s="22" t="s">
        <v>90</v>
      </c>
      <c r="I15" s="22" t="s">
        <v>91</v>
      </c>
      <c r="J15" s="25"/>
      <c r="K15" s="22"/>
      <c r="L15" s="22"/>
      <c r="M15" s="22"/>
      <c r="N15" s="22"/>
      <c r="O15" s="22"/>
      <c r="P15" s="22"/>
      <c r="Q15" s="22"/>
      <c r="R15" s="23">
        <v>1000000</v>
      </c>
      <c r="S15" s="23">
        <f t="shared" si="0"/>
        <v>1200000</v>
      </c>
      <c r="T15" s="23">
        <f t="shared" si="1"/>
        <v>1440000</v>
      </c>
      <c r="U15" s="23">
        <f t="shared" si="2"/>
        <v>1728000</v>
      </c>
      <c r="V15" s="23">
        <f t="shared" si="3"/>
        <v>2073600</v>
      </c>
    </row>
    <row r="16" spans="2:22" ht="41.25" customHeight="1" x14ac:dyDescent="0.3">
      <c r="B16" s="16" t="s">
        <v>190</v>
      </c>
      <c r="C16" s="16" t="s">
        <v>86</v>
      </c>
      <c r="D16" s="16" t="s">
        <v>10</v>
      </c>
      <c r="E16" s="16" t="s">
        <v>87</v>
      </c>
      <c r="F16" s="16" t="s">
        <v>93</v>
      </c>
      <c r="G16" s="22" t="s">
        <v>89</v>
      </c>
      <c r="H16" s="22" t="s">
        <v>90</v>
      </c>
      <c r="I16" s="22" t="s">
        <v>91</v>
      </c>
      <c r="J16" s="25"/>
      <c r="K16" s="22"/>
      <c r="L16" s="22"/>
      <c r="M16" s="22"/>
      <c r="N16" s="22"/>
      <c r="O16" s="22"/>
      <c r="P16" s="22"/>
      <c r="Q16" s="22"/>
      <c r="R16" s="23">
        <v>450000</v>
      </c>
      <c r="S16" s="23">
        <f t="shared" si="0"/>
        <v>540000</v>
      </c>
      <c r="T16" s="23">
        <f t="shared" si="1"/>
        <v>648000</v>
      </c>
      <c r="U16" s="23">
        <f t="shared" si="2"/>
        <v>777600</v>
      </c>
      <c r="V16" s="23">
        <f t="shared" si="3"/>
        <v>933120</v>
      </c>
    </row>
    <row r="17" spans="2:22" ht="41.25" customHeight="1" x14ac:dyDescent="0.3">
      <c r="B17" s="16" t="s">
        <v>191</v>
      </c>
      <c r="C17" s="16" t="s">
        <v>86</v>
      </c>
      <c r="D17" s="16" t="s">
        <v>10</v>
      </c>
      <c r="E17" s="16" t="s">
        <v>87</v>
      </c>
      <c r="F17" s="16" t="s">
        <v>94</v>
      </c>
      <c r="G17" s="22" t="s">
        <v>89</v>
      </c>
      <c r="H17" s="22" t="s">
        <v>90</v>
      </c>
      <c r="I17" s="22" t="s">
        <v>91</v>
      </c>
      <c r="J17" s="25"/>
      <c r="K17" s="22"/>
      <c r="L17" s="22"/>
      <c r="M17" s="22"/>
      <c r="N17" s="22"/>
      <c r="O17" s="22"/>
      <c r="P17" s="22"/>
      <c r="Q17" s="22"/>
      <c r="R17" s="23">
        <v>300000</v>
      </c>
      <c r="S17" s="23">
        <f t="shared" si="0"/>
        <v>360000</v>
      </c>
      <c r="T17" s="23">
        <f t="shared" si="1"/>
        <v>432000</v>
      </c>
      <c r="U17" s="23">
        <f t="shared" si="2"/>
        <v>518400</v>
      </c>
      <c r="V17" s="23">
        <f t="shared" si="3"/>
        <v>622080</v>
      </c>
    </row>
    <row r="18" spans="2:22" ht="41.25" customHeight="1" x14ac:dyDescent="0.3">
      <c r="B18" s="16" t="s">
        <v>192</v>
      </c>
      <c r="C18" s="16" t="s">
        <v>86</v>
      </c>
      <c r="D18" s="16" t="s">
        <v>10</v>
      </c>
      <c r="E18" s="16" t="s">
        <v>87</v>
      </c>
      <c r="F18" s="24" t="s">
        <v>95</v>
      </c>
      <c r="G18" s="22" t="s">
        <v>89</v>
      </c>
      <c r="H18" s="22" t="s">
        <v>90</v>
      </c>
      <c r="I18" s="22" t="s">
        <v>91</v>
      </c>
      <c r="J18" s="25"/>
      <c r="K18" s="22"/>
      <c r="L18" s="22"/>
      <c r="M18" s="22"/>
      <c r="N18" s="22"/>
      <c r="O18" s="22"/>
      <c r="P18" s="22"/>
      <c r="Q18" s="22"/>
      <c r="R18" s="23">
        <v>400000</v>
      </c>
      <c r="S18" s="23">
        <f t="shared" si="0"/>
        <v>480000</v>
      </c>
      <c r="T18" s="23">
        <f t="shared" si="1"/>
        <v>576000</v>
      </c>
      <c r="U18" s="23">
        <f t="shared" si="2"/>
        <v>691200</v>
      </c>
      <c r="V18" s="23">
        <f t="shared" si="3"/>
        <v>829440</v>
      </c>
    </row>
    <row r="19" spans="2:22" ht="41.25" customHeight="1" x14ac:dyDescent="0.3">
      <c r="B19" s="16" t="s">
        <v>193</v>
      </c>
      <c r="C19" s="16" t="s">
        <v>86</v>
      </c>
      <c r="D19" s="16" t="s">
        <v>10</v>
      </c>
      <c r="E19" s="16" t="s">
        <v>87</v>
      </c>
      <c r="F19" s="16" t="s">
        <v>96</v>
      </c>
      <c r="G19" s="22" t="s">
        <v>89</v>
      </c>
      <c r="H19" s="22" t="s">
        <v>90</v>
      </c>
      <c r="I19" s="22" t="s">
        <v>91</v>
      </c>
      <c r="J19" s="25"/>
      <c r="K19" s="22"/>
      <c r="L19" s="22"/>
      <c r="M19" s="22"/>
      <c r="N19" s="22"/>
      <c r="O19" s="22"/>
      <c r="P19" s="22"/>
      <c r="Q19" s="22"/>
      <c r="R19" s="23">
        <v>20000</v>
      </c>
      <c r="S19" s="23">
        <f t="shared" si="0"/>
        <v>24000</v>
      </c>
      <c r="T19" s="23">
        <f t="shared" si="1"/>
        <v>28800</v>
      </c>
      <c r="U19" s="23">
        <f t="shared" si="2"/>
        <v>34560</v>
      </c>
      <c r="V19" s="23">
        <f t="shared" si="3"/>
        <v>41472</v>
      </c>
    </row>
    <row r="20" spans="2:22" ht="41.25" customHeight="1" x14ac:dyDescent="0.3">
      <c r="B20" s="16" t="s">
        <v>194</v>
      </c>
      <c r="C20" s="16" t="s">
        <v>86</v>
      </c>
      <c r="D20" s="16" t="s">
        <v>10</v>
      </c>
      <c r="E20" s="16" t="s">
        <v>87</v>
      </c>
      <c r="F20" s="16" t="s">
        <v>97</v>
      </c>
      <c r="G20" s="22" t="s">
        <v>89</v>
      </c>
      <c r="H20" s="22" t="s">
        <v>90</v>
      </c>
      <c r="I20" s="22" t="s">
        <v>91</v>
      </c>
      <c r="J20" s="25"/>
      <c r="K20" s="22"/>
      <c r="L20" s="22"/>
      <c r="M20" s="22"/>
      <c r="N20" s="22"/>
      <c r="O20" s="22"/>
      <c r="P20" s="22"/>
      <c r="Q20" s="22"/>
      <c r="R20" s="23">
        <v>10000</v>
      </c>
      <c r="S20" s="23">
        <f t="shared" si="0"/>
        <v>12000</v>
      </c>
      <c r="T20" s="23">
        <f t="shared" si="1"/>
        <v>14400</v>
      </c>
      <c r="U20" s="23">
        <f t="shared" si="2"/>
        <v>17280</v>
      </c>
      <c r="V20" s="23">
        <f t="shared" si="3"/>
        <v>20736</v>
      </c>
    </row>
    <row r="21" spans="2:22" ht="41.25" customHeight="1" x14ac:dyDescent="0.3">
      <c r="B21" s="16" t="s">
        <v>195</v>
      </c>
      <c r="C21" s="16" t="s">
        <v>86</v>
      </c>
      <c r="D21" s="16" t="s">
        <v>10</v>
      </c>
      <c r="E21" s="16" t="s">
        <v>87</v>
      </c>
      <c r="F21" s="24" t="s">
        <v>95</v>
      </c>
      <c r="G21" s="22" t="s">
        <v>89</v>
      </c>
      <c r="H21" s="22" t="s">
        <v>90</v>
      </c>
      <c r="I21" s="22" t="s">
        <v>91</v>
      </c>
      <c r="J21" s="25"/>
      <c r="K21" s="22"/>
      <c r="L21" s="22"/>
      <c r="M21" s="22"/>
      <c r="N21" s="22"/>
      <c r="O21" s="22"/>
      <c r="P21" s="22"/>
      <c r="Q21" s="22"/>
      <c r="R21" s="23">
        <v>0</v>
      </c>
      <c r="S21" s="23">
        <f t="shared" si="0"/>
        <v>0</v>
      </c>
      <c r="T21" s="23">
        <f t="shared" si="1"/>
        <v>0</v>
      </c>
      <c r="U21" s="23">
        <f t="shared" si="2"/>
        <v>0</v>
      </c>
      <c r="V21" s="23">
        <f t="shared" si="3"/>
        <v>0</v>
      </c>
    </row>
    <row r="22" spans="2:22" ht="41.25" customHeight="1" x14ac:dyDescent="0.3">
      <c r="B22" s="16" t="s">
        <v>196</v>
      </c>
      <c r="C22" s="16" t="s">
        <v>86</v>
      </c>
      <c r="D22" s="16" t="s">
        <v>10</v>
      </c>
      <c r="E22" s="16" t="s">
        <v>87</v>
      </c>
      <c r="F22" s="16" t="s">
        <v>98</v>
      </c>
      <c r="G22" s="22" t="s">
        <v>89</v>
      </c>
      <c r="H22" s="22" t="s">
        <v>90</v>
      </c>
      <c r="I22" s="22" t="s">
        <v>91</v>
      </c>
      <c r="J22" s="25"/>
      <c r="K22" s="22"/>
      <c r="L22" s="22"/>
      <c r="M22" s="22"/>
      <c r="N22" s="22"/>
      <c r="O22" s="22"/>
      <c r="P22" s="22"/>
      <c r="Q22" s="22"/>
      <c r="R22" s="23">
        <v>10000</v>
      </c>
      <c r="S22" s="23">
        <f t="shared" si="0"/>
        <v>12000</v>
      </c>
      <c r="T22" s="23">
        <f t="shared" si="1"/>
        <v>14400</v>
      </c>
      <c r="U22" s="23">
        <f t="shared" si="2"/>
        <v>17280</v>
      </c>
      <c r="V22" s="23">
        <f t="shared" si="3"/>
        <v>20736</v>
      </c>
    </row>
    <row r="23" spans="2:22" ht="41.25" customHeight="1" x14ac:dyDescent="0.3">
      <c r="B23" s="16" t="s">
        <v>197</v>
      </c>
      <c r="C23" s="16" t="s">
        <v>86</v>
      </c>
      <c r="D23" s="16" t="s">
        <v>10</v>
      </c>
      <c r="E23" s="16" t="s">
        <v>32</v>
      </c>
      <c r="F23" s="16" t="s">
        <v>94</v>
      </c>
      <c r="G23" s="22" t="s">
        <v>89</v>
      </c>
      <c r="H23" s="22" t="s">
        <v>90</v>
      </c>
      <c r="I23" s="22" t="s">
        <v>91</v>
      </c>
      <c r="J23" s="25"/>
      <c r="K23" s="22"/>
      <c r="L23" s="22"/>
      <c r="M23" s="22"/>
      <c r="N23" s="22"/>
      <c r="O23" s="22"/>
      <c r="P23" s="22"/>
      <c r="Q23" s="22"/>
      <c r="R23" s="23">
        <v>150000</v>
      </c>
      <c r="S23" s="23">
        <f t="shared" si="0"/>
        <v>180000</v>
      </c>
      <c r="T23" s="23">
        <f t="shared" si="1"/>
        <v>216000</v>
      </c>
      <c r="U23" s="23">
        <f t="shared" si="2"/>
        <v>259200</v>
      </c>
      <c r="V23" s="23">
        <f t="shared" si="3"/>
        <v>311040</v>
      </c>
    </row>
    <row r="24" spans="2:22" ht="41.25" customHeight="1" x14ac:dyDescent="0.3">
      <c r="B24" s="16" t="s">
        <v>198</v>
      </c>
      <c r="C24" s="18">
        <v>4683</v>
      </c>
      <c r="D24" s="16" t="s">
        <v>11</v>
      </c>
      <c r="E24" s="16" t="s">
        <v>99</v>
      </c>
      <c r="F24" s="16" t="s">
        <v>85</v>
      </c>
      <c r="G24" s="22" t="s">
        <v>100</v>
      </c>
      <c r="H24" s="22" t="s">
        <v>101</v>
      </c>
      <c r="I24" s="22" t="s">
        <v>102</v>
      </c>
      <c r="J24" s="25">
        <v>42824</v>
      </c>
      <c r="K24" s="22"/>
      <c r="L24" s="22" t="s">
        <v>70</v>
      </c>
      <c r="M24" s="22" t="s">
        <v>77</v>
      </c>
      <c r="N24" s="22" t="s">
        <v>103</v>
      </c>
      <c r="O24" s="22" t="s">
        <v>70</v>
      </c>
      <c r="P24" s="22"/>
      <c r="Q24" s="22"/>
      <c r="R24" s="23"/>
      <c r="S24" s="23">
        <f t="shared" si="0"/>
        <v>0</v>
      </c>
      <c r="T24" s="23">
        <f t="shared" si="1"/>
        <v>0</v>
      </c>
      <c r="U24" s="23">
        <f t="shared" si="2"/>
        <v>0</v>
      </c>
      <c r="V24" s="23">
        <f t="shared" si="3"/>
        <v>0</v>
      </c>
    </row>
    <row r="25" spans="2:22" ht="41.25" customHeight="1" x14ac:dyDescent="0.3">
      <c r="B25" s="16" t="s">
        <v>199</v>
      </c>
      <c r="C25" s="18">
        <v>3878.95</v>
      </c>
      <c r="D25" s="16" t="s">
        <v>11</v>
      </c>
      <c r="E25" s="16" t="s">
        <v>104</v>
      </c>
      <c r="F25" s="16" t="s">
        <v>72</v>
      </c>
      <c r="G25" s="22" t="s">
        <v>105</v>
      </c>
      <c r="H25" s="22" t="s">
        <v>106</v>
      </c>
      <c r="I25" s="22" t="s">
        <v>107</v>
      </c>
      <c r="J25" s="25">
        <v>45782</v>
      </c>
      <c r="K25" s="22"/>
      <c r="L25" s="22" t="s">
        <v>67</v>
      </c>
      <c r="M25" s="22" t="s">
        <v>77</v>
      </c>
      <c r="N25" s="22" t="s">
        <v>69</v>
      </c>
      <c r="O25" s="22" t="s">
        <v>70</v>
      </c>
      <c r="P25" s="22"/>
      <c r="Q25" s="22"/>
      <c r="R25" s="23"/>
      <c r="S25" s="23">
        <f t="shared" si="0"/>
        <v>0</v>
      </c>
      <c r="T25" s="23">
        <f t="shared" si="1"/>
        <v>0</v>
      </c>
      <c r="U25" s="23">
        <f t="shared" si="2"/>
        <v>0</v>
      </c>
      <c r="V25" s="23">
        <f t="shared" si="3"/>
        <v>0</v>
      </c>
    </row>
    <row r="26" spans="2:22" ht="41.25" customHeight="1" x14ac:dyDescent="0.3">
      <c r="B26" s="16" t="s">
        <v>200</v>
      </c>
      <c r="C26" s="16" t="s">
        <v>86</v>
      </c>
      <c r="D26" s="16" t="s">
        <v>11</v>
      </c>
      <c r="E26" s="16" t="s">
        <v>108</v>
      </c>
      <c r="F26" s="16" t="s">
        <v>109</v>
      </c>
      <c r="G26" s="22" t="s">
        <v>110</v>
      </c>
      <c r="H26" s="22" t="s">
        <v>111</v>
      </c>
      <c r="I26" s="22" t="s">
        <v>112</v>
      </c>
      <c r="J26" s="25"/>
      <c r="K26" s="22"/>
      <c r="L26" s="22"/>
      <c r="M26" s="22"/>
      <c r="N26" s="22"/>
      <c r="O26" s="22"/>
      <c r="P26" s="22"/>
      <c r="Q26" s="22"/>
      <c r="R26" s="23"/>
      <c r="S26" s="23">
        <f t="shared" si="0"/>
        <v>0</v>
      </c>
      <c r="T26" s="23">
        <f t="shared" si="1"/>
        <v>0</v>
      </c>
      <c r="U26" s="23">
        <f t="shared" si="2"/>
        <v>0</v>
      </c>
      <c r="V26" s="23">
        <f t="shared" si="3"/>
        <v>0</v>
      </c>
    </row>
    <row r="27" spans="2:22" ht="41.25" customHeight="1" x14ac:dyDescent="0.3">
      <c r="B27" s="16" t="s">
        <v>201</v>
      </c>
      <c r="C27" s="16" t="s">
        <v>86</v>
      </c>
      <c r="D27" s="16" t="s">
        <v>11</v>
      </c>
      <c r="E27" s="16" t="s">
        <v>113</v>
      </c>
      <c r="F27" s="16" t="s">
        <v>109</v>
      </c>
      <c r="G27" s="22" t="s">
        <v>114</v>
      </c>
      <c r="H27" s="22" t="s">
        <v>115</v>
      </c>
      <c r="I27" s="22" t="s">
        <v>116</v>
      </c>
      <c r="J27" s="25">
        <v>0</v>
      </c>
      <c r="K27" s="22"/>
      <c r="L27" s="22"/>
      <c r="M27" s="22"/>
      <c r="N27" s="22"/>
      <c r="O27" s="22"/>
      <c r="P27" s="22"/>
      <c r="Q27" s="22"/>
      <c r="R27" s="23"/>
      <c r="S27" s="23">
        <f t="shared" si="0"/>
        <v>0</v>
      </c>
      <c r="T27" s="23">
        <f t="shared" si="1"/>
        <v>0</v>
      </c>
      <c r="U27" s="23">
        <f t="shared" si="2"/>
        <v>0</v>
      </c>
      <c r="V27" s="23">
        <f t="shared" si="3"/>
        <v>0</v>
      </c>
    </row>
    <row r="28" spans="2:22" ht="41.25" customHeight="1" x14ac:dyDescent="0.3">
      <c r="B28" s="16" t="s">
        <v>202</v>
      </c>
      <c r="C28" s="18">
        <v>19555.2</v>
      </c>
      <c r="D28" s="16" t="s">
        <v>12</v>
      </c>
      <c r="E28" s="16" t="s">
        <v>63</v>
      </c>
      <c r="F28" s="16" t="s">
        <v>58</v>
      </c>
      <c r="G28" s="22" t="s">
        <v>117</v>
      </c>
      <c r="H28" s="22" t="s">
        <v>118</v>
      </c>
      <c r="I28" s="22" t="s">
        <v>119</v>
      </c>
      <c r="J28" s="25">
        <v>43507</v>
      </c>
      <c r="K28" s="22"/>
      <c r="L28" s="22" t="s">
        <v>67</v>
      </c>
      <c r="M28" s="22" t="s">
        <v>68</v>
      </c>
      <c r="N28" s="22" t="s">
        <v>69</v>
      </c>
      <c r="O28" s="22" t="s">
        <v>76</v>
      </c>
      <c r="P28" s="22"/>
      <c r="Q28" s="22"/>
      <c r="R28" s="23"/>
      <c r="S28" s="23">
        <f t="shared" si="0"/>
        <v>0</v>
      </c>
      <c r="T28" s="23">
        <f t="shared" si="1"/>
        <v>0</v>
      </c>
      <c r="U28" s="23">
        <f t="shared" si="2"/>
        <v>0</v>
      </c>
      <c r="V28" s="23">
        <f t="shared" si="3"/>
        <v>0</v>
      </c>
    </row>
    <row r="29" spans="2:22" ht="54.75" customHeight="1" x14ac:dyDescent="0.3">
      <c r="B29" s="16" t="s">
        <v>203</v>
      </c>
      <c r="C29" s="18">
        <v>6924.5</v>
      </c>
      <c r="D29" s="16" t="s">
        <v>12</v>
      </c>
      <c r="E29" s="16" t="s">
        <v>71</v>
      </c>
      <c r="F29" s="16" t="s">
        <v>72</v>
      </c>
      <c r="G29" s="22" t="s">
        <v>120</v>
      </c>
      <c r="H29" s="22" t="s">
        <v>121</v>
      </c>
      <c r="I29" s="22" t="s">
        <v>122</v>
      </c>
      <c r="J29" s="25">
        <v>44214</v>
      </c>
      <c r="K29" s="22"/>
      <c r="L29" s="22" t="s">
        <v>67</v>
      </c>
      <c r="M29" s="22" t="s">
        <v>77</v>
      </c>
      <c r="N29" s="22" t="s">
        <v>69</v>
      </c>
      <c r="O29" s="22" t="s">
        <v>70</v>
      </c>
      <c r="P29" s="22"/>
      <c r="Q29" s="22"/>
      <c r="R29" s="23">
        <v>500000</v>
      </c>
      <c r="S29" s="23">
        <f t="shared" si="0"/>
        <v>600000</v>
      </c>
      <c r="T29" s="23">
        <f t="shared" si="1"/>
        <v>720000</v>
      </c>
      <c r="U29" s="23">
        <f t="shared" si="2"/>
        <v>864000</v>
      </c>
      <c r="V29" s="23">
        <f t="shared" si="3"/>
        <v>1036800</v>
      </c>
    </row>
    <row r="30" spans="2:22" ht="54.75" customHeight="1" x14ac:dyDescent="0.3">
      <c r="B30" s="16" t="s">
        <v>204</v>
      </c>
      <c r="C30" s="18">
        <v>6121.5</v>
      </c>
      <c r="D30" s="16" t="s">
        <v>12</v>
      </c>
      <c r="E30" s="16" t="s">
        <v>71</v>
      </c>
      <c r="F30" s="16" t="s">
        <v>72</v>
      </c>
      <c r="G30" s="22" t="s">
        <v>120</v>
      </c>
      <c r="H30" s="22" t="s">
        <v>121</v>
      </c>
      <c r="I30" s="22" t="s">
        <v>122</v>
      </c>
      <c r="J30" s="25">
        <v>45390</v>
      </c>
      <c r="K30" s="22"/>
      <c r="L30" s="22" t="s">
        <v>76</v>
      </c>
      <c r="M30" s="22" t="s">
        <v>77</v>
      </c>
      <c r="N30" s="22" t="s">
        <v>69</v>
      </c>
      <c r="O30" s="22" t="s">
        <v>70</v>
      </c>
      <c r="P30" s="22"/>
      <c r="Q30" s="22"/>
      <c r="R30" s="23">
        <v>450000</v>
      </c>
      <c r="S30" s="23">
        <f t="shared" si="0"/>
        <v>540000</v>
      </c>
      <c r="T30" s="23">
        <f t="shared" si="1"/>
        <v>648000</v>
      </c>
      <c r="U30" s="23">
        <f t="shared" si="2"/>
        <v>777600</v>
      </c>
      <c r="V30" s="23">
        <f t="shared" si="3"/>
        <v>933120</v>
      </c>
    </row>
    <row r="31" spans="2:22" ht="54.75" customHeight="1" x14ac:dyDescent="0.3">
      <c r="B31" s="16" t="s">
        <v>205</v>
      </c>
      <c r="C31" s="18">
        <v>7907.5</v>
      </c>
      <c r="D31" s="16" t="s">
        <v>12</v>
      </c>
      <c r="E31" s="16" t="s">
        <v>71</v>
      </c>
      <c r="F31" s="16" t="s">
        <v>72</v>
      </c>
      <c r="G31" s="22" t="s">
        <v>123</v>
      </c>
      <c r="H31" s="22" t="s">
        <v>124</v>
      </c>
      <c r="I31" s="22" t="s">
        <v>125</v>
      </c>
      <c r="J31" s="25">
        <v>44075</v>
      </c>
      <c r="K31" s="22"/>
      <c r="L31" s="22" t="s">
        <v>67</v>
      </c>
      <c r="M31" s="22" t="s">
        <v>77</v>
      </c>
      <c r="N31" s="22" t="s">
        <v>69</v>
      </c>
      <c r="O31" s="22" t="s">
        <v>76</v>
      </c>
      <c r="P31" s="22"/>
      <c r="Q31" s="22"/>
      <c r="R31" s="23">
        <v>1700000</v>
      </c>
      <c r="S31" s="23">
        <f t="shared" si="0"/>
        <v>2040000</v>
      </c>
      <c r="T31" s="23">
        <f t="shared" si="1"/>
        <v>2448000</v>
      </c>
      <c r="U31" s="23">
        <f t="shared" si="2"/>
        <v>2937600</v>
      </c>
      <c r="V31" s="23">
        <f t="shared" si="3"/>
        <v>3525120</v>
      </c>
    </row>
    <row r="32" spans="2:22" ht="54.75" customHeight="1" x14ac:dyDescent="0.3">
      <c r="B32" s="16" t="s">
        <v>206</v>
      </c>
      <c r="C32" s="18">
        <v>4000</v>
      </c>
      <c r="D32" s="16" t="s">
        <v>12</v>
      </c>
      <c r="E32" s="16" t="s">
        <v>71</v>
      </c>
      <c r="F32" s="16" t="s">
        <v>85</v>
      </c>
      <c r="G32" s="22" t="s">
        <v>126</v>
      </c>
      <c r="H32" s="22" t="s">
        <v>121</v>
      </c>
      <c r="I32" s="22" t="s">
        <v>122</v>
      </c>
      <c r="J32" s="25">
        <v>45124</v>
      </c>
      <c r="K32" s="22"/>
      <c r="L32" s="22" t="s">
        <v>70</v>
      </c>
      <c r="M32" s="22" t="s">
        <v>77</v>
      </c>
      <c r="N32" s="22" t="s">
        <v>69</v>
      </c>
      <c r="O32" s="22" t="s">
        <v>67</v>
      </c>
      <c r="P32" s="22"/>
      <c r="Q32" s="22"/>
      <c r="R32" s="23">
        <v>100000</v>
      </c>
      <c r="S32" s="23">
        <f t="shared" si="0"/>
        <v>120000</v>
      </c>
      <c r="T32" s="23">
        <f t="shared" si="1"/>
        <v>144000</v>
      </c>
      <c r="U32" s="23">
        <f t="shared" si="2"/>
        <v>172800</v>
      </c>
      <c r="V32" s="23">
        <f t="shared" si="3"/>
        <v>207360</v>
      </c>
    </row>
    <row r="33" spans="2:22" ht="54.75" customHeight="1" x14ac:dyDescent="0.3">
      <c r="B33" s="16" t="s">
        <v>207</v>
      </c>
      <c r="C33" s="18">
        <v>3483</v>
      </c>
      <c r="D33" s="16" t="s">
        <v>12</v>
      </c>
      <c r="E33" s="16" t="s">
        <v>71</v>
      </c>
      <c r="F33" s="16" t="s">
        <v>127</v>
      </c>
      <c r="G33" s="22" t="s">
        <v>126</v>
      </c>
      <c r="H33" s="22" t="s">
        <v>121</v>
      </c>
      <c r="I33" s="22" t="s">
        <v>122</v>
      </c>
      <c r="J33" s="25">
        <v>42552</v>
      </c>
      <c r="K33" s="22"/>
      <c r="L33" s="22" t="s">
        <v>76</v>
      </c>
      <c r="M33" s="22" t="s">
        <v>77</v>
      </c>
      <c r="N33" s="22" t="s">
        <v>69</v>
      </c>
      <c r="O33" s="22" t="s">
        <v>70</v>
      </c>
      <c r="P33" s="22"/>
      <c r="Q33" s="22"/>
      <c r="R33" s="23">
        <v>300000</v>
      </c>
      <c r="S33" s="23">
        <f t="shared" si="0"/>
        <v>360000</v>
      </c>
      <c r="T33" s="23">
        <f t="shared" si="1"/>
        <v>432000</v>
      </c>
      <c r="U33" s="23">
        <f t="shared" si="2"/>
        <v>518400</v>
      </c>
      <c r="V33" s="23">
        <f t="shared" si="3"/>
        <v>622080</v>
      </c>
    </row>
    <row r="34" spans="2:22" ht="54.75" customHeight="1" x14ac:dyDescent="0.3">
      <c r="B34" s="16" t="s">
        <v>208</v>
      </c>
      <c r="C34" s="18">
        <v>4000</v>
      </c>
      <c r="D34" s="16" t="s">
        <v>12</v>
      </c>
      <c r="E34" s="16" t="s">
        <v>71</v>
      </c>
      <c r="F34" s="16" t="s">
        <v>128</v>
      </c>
      <c r="G34" s="22" t="s">
        <v>126</v>
      </c>
      <c r="H34" s="22" t="s">
        <v>121</v>
      </c>
      <c r="I34" s="22" t="s">
        <v>122</v>
      </c>
      <c r="J34" s="25">
        <v>46126</v>
      </c>
      <c r="K34" s="22"/>
      <c r="L34" s="22" t="s">
        <v>76</v>
      </c>
      <c r="M34" s="22" t="s">
        <v>77</v>
      </c>
      <c r="N34" s="22" t="s">
        <v>69</v>
      </c>
      <c r="O34" s="22" t="s">
        <v>76</v>
      </c>
      <c r="P34" s="22"/>
      <c r="Q34" s="22"/>
      <c r="R34" s="23">
        <v>100000</v>
      </c>
      <c r="S34" s="23">
        <f t="shared" si="0"/>
        <v>120000</v>
      </c>
      <c r="T34" s="23">
        <f t="shared" si="1"/>
        <v>144000</v>
      </c>
      <c r="U34" s="23">
        <f t="shared" si="2"/>
        <v>172800</v>
      </c>
      <c r="V34" s="23">
        <f t="shared" si="3"/>
        <v>207360</v>
      </c>
    </row>
    <row r="35" spans="2:22" ht="54.75" customHeight="1" x14ac:dyDescent="0.3">
      <c r="B35" s="16" t="s">
        <v>209</v>
      </c>
      <c r="C35" s="18">
        <v>3310.8</v>
      </c>
      <c r="D35" s="16" t="s">
        <v>12</v>
      </c>
      <c r="E35" s="16" t="s">
        <v>13</v>
      </c>
      <c r="F35" s="16" t="s">
        <v>72</v>
      </c>
      <c r="G35" s="22" t="s">
        <v>129</v>
      </c>
      <c r="H35" s="22" t="s">
        <v>130</v>
      </c>
      <c r="I35" s="22" t="s">
        <v>131</v>
      </c>
      <c r="J35" s="25">
        <v>45992</v>
      </c>
      <c r="K35" s="22"/>
      <c r="L35" s="22" t="s">
        <v>70</v>
      </c>
      <c r="M35" s="22" t="s">
        <v>77</v>
      </c>
      <c r="N35" s="22" t="s">
        <v>69</v>
      </c>
      <c r="O35" s="22" t="s">
        <v>76</v>
      </c>
      <c r="P35" s="22"/>
      <c r="Q35" s="22"/>
      <c r="R35" s="23">
        <v>0</v>
      </c>
      <c r="S35" s="23">
        <f t="shared" si="0"/>
        <v>0</v>
      </c>
      <c r="T35" s="23">
        <f t="shared" si="1"/>
        <v>0</v>
      </c>
      <c r="U35" s="23">
        <f t="shared" si="2"/>
        <v>0</v>
      </c>
      <c r="V35" s="23">
        <f t="shared" si="3"/>
        <v>0</v>
      </c>
    </row>
    <row r="36" spans="2:22" ht="41.25" customHeight="1" x14ac:dyDescent="0.3">
      <c r="B36" s="16" t="s">
        <v>210</v>
      </c>
      <c r="C36" s="18">
        <v>3703.7</v>
      </c>
      <c r="D36" s="16" t="s">
        <v>12</v>
      </c>
      <c r="E36" s="16" t="s">
        <v>71</v>
      </c>
      <c r="F36" s="16" t="s">
        <v>85</v>
      </c>
      <c r="G36" s="22" t="s">
        <v>132</v>
      </c>
      <c r="H36" s="22" t="s">
        <v>133</v>
      </c>
      <c r="I36" s="22" t="s">
        <v>134</v>
      </c>
      <c r="J36" s="25">
        <v>45117</v>
      </c>
      <c r="K36" s="22"/>
      <c r="L36" s="22" t="s">
        <v>76</v>
      </c>
      <c r="M36" s="22" t="s">
        <v>77</v>
      </c>
      <c r="N36" s="22" t="s">
        <v>69</v>
      </c>
      <c r="O36" s="22" t="s">
        <v>76</v>
      </c>
      <c r="P36" s="22"/>
      <c r="Q36" s="22"/>
      <c r="R36" s="23">
        <v>350000</v>
      </c>
      <c r="S36" s="23">
        <f t="shared" si="0"/>
        <v>420000</v>
      </c>
      <c r="T36" s="23">
        <f t="shared" si="1"/>
        <v>504000</v>
      </c>
      <c r="U36" s="23">
        <f t="shared" si="2"/>
        <v>604800</v>
      </c>
      <c r="V36" s="23">
        <f t="shared" si="3"/>
        <v>725760</v>
      </c>
    </row>
    <row r="37" spans="2:22" ht="54.75" customHeight="1" x14ac:dyDescent="0.3">
      <c r="B37" s="16" t="s">
        <v>211</v>
      </c>
      <c r="C37" s="18">
        <v>7001</v>
      </c>
      <c r="D37" s="16" t="s">
        <v>12</v>
      </c>
      <c r="E37" s="16" t="s">
        <v>135</v>
      </c>
      <c r="F37" s="16" t="s">
        <v>72</v>
      </c>
      <c r="G37" s="22" t="s">
        <v>136</v>
      </c>
      <c r="H37" s="22" t="s">
        <v>137</v>
      </c>
      <c r="I37" s="22" t="s">
        <v>138</v>
      </c>
      <c r="J37" s="25">
        <v>43388</v>
      </c>
      <c r="K37" s="22"/>
      <c r="L37" s="22" t="s">
        <v>76</v>
      </c>
      <c r="M37" s="22" t="s">
        <v>77</v>
      </c>
      <c r="N37" s="22" t="s">
        <v>69</v>
      </c>
      <c r="O37" s="22" t="s">
        <v>67</v>
      </c>
      <c r="P37" s="22"/>
      <c r="Q37" s="22"/>
      <c r="R37" s="23"/>
      <c r="S37" s="23">
        <f t="shared" si="0"/>
        <v>0</v>
      </c>
      <c r="T37" s="23">
        <f t="shared" si="1"/>
        <v>0</v>
      </c>
      <c r="U37" s="23">
        <f t="shared" si="2"/>
        <v>0</v>
      </c>
      <c r="V37" s="23">
        <f t="shared" si="3"/>
        <v>0</v>
      </c>
    </row>
    <row r="38" spans="2:22" ht="54.75" customHeight="1" x14ac:dyDescent="0.3">
      <c r="B38" s="16" t="s">
        <v>212</v>
      </c>
      <c r="C38" s="18">
        <v>4582.5</v>
      </c>
      <c r="D38" s="16" t="s">
        <v>12</v>
      </c>
      <c r="E38" s="16" t="s">
        <v>135</v>
      </c>
      <c r="F38" s="16" t="s">
        <v>72</v>
      </c>
      <c r="G38" s="22" t="s">
        <v>139</v>
      </c>
      <c r="H38" s="22" t="s">
        <v>140</v>
      </c>
      <c r="I38" s="22" t="s">
        <v>141</v>
      </c>
      <c r="J38" s="25">
        <v>44564</v>
      </c>
      <c r="K38" s="22"/>
      <c r="L38" s="22" t="s">
        <v>76</v>
      </c>
      <c r="M38" s="22" t="s">
        <v>77</v>
      </c>
      <c r="N38" s="22" t="s">
        <v>69</v>
      </c>
      <c r="O38" s="22" t="s">
        <v>67</v>
      </c>
      <c r="P38" s="22"/>
      <c r="Q38" s="22"/>
      <c r="R38" s="23"/>
      <c r="S38" s="23">
        <f t="shared" si="0"/>
        <v>0</v>
      </c>
      <c r="T38" s="23">
        <f t="shared" si="1"/>
        <v>0</v>
      </c>
      <c r="U38" s="23">
        <f t="shared" si="2"/>
        <v>0</v>
      </c>
      <c r="V38" s="23">
        <f t="shared" si="3"/>
        <v>0</v>
      </c>
    </row>
    <row r="39" spans="2:22" ht="54.75" customHeight="1" x14ac:dyDescent="0.3">
      <c r="B39" s="16" t="s">
        <v>213</v>
      </c>
      <c r="C39" s="18">
        <v>4210.5</v>
      </c>
      <c r="D39" s="16" t="s">
        <v>12</v>
      </c>
      <c r="E39" s="16" t="s">
        <v>135</v>
      </c>
      <c r="F39" s="16" t="s">
        <v>72</v>
      </c>
      <c r="G39" s="22" t="s">
        <v>139</v>
      </c>
      <c r="H39" s="22" t="s">
        <v>140</v>
      </c>
      <c r="I39" s="22" t="s">
        <v>141</v>
      </c>
      <c r="J39" s="25">
        <v>45075</v>
      </c>
      <c r="K39" s="22"/>
      <c r="L39" s="22" t="s">
        <v>76</v>
      </c>
      <c r="M39" s="22" t="s">
        <v>77</v>
      </c>
      <c r="N39" s="22" t="s">
        <v>69</v>
      </c>
      <c r="O39" s="22" t="s">
        <v>67</v>
      </c>
      <c r="P39" s="22"/>
      <c r="Q39" s="22"/>
      <c r="R39" s="23"/>
      <c r="S39" s="23">
        <f t="shared" si="0"/>
        <v>0</v>
      </c>
      <c r="T39" s="23">
        <f t="shared" si="1"/>
        <v>0</v>
      </c>
      <c r="U39" s="23">
        <f t="shared" si="2"/>
        <v>0</v>
      </c>
      <c r="V39" s="23">
        <f t="shared" si="3"/>
        <v>0</v>
      </c>
    </row>
    <row r="40" spans="2:22" ht="54.75" customHeight="1" x14ac:dyDescent="0.3">
      <c r="B40" s="16" t="s">
        <v>214</v>
      </c>
      <c r="C40" s="18">
        <v>3509</v>
      </c>
      <c r="D40" s="16" t="s">
        <v>12</v>
      </c>
      <c r="E40" s="16" t="s">
        <v>135</v>
      </c>
      <c r="F40" s="16" t="s">
        <v>72</v>
      </c>
      <c r="G40" s="22" t="s">
        <v>139</v>
      </c>
      <c r="H40" s="22" t="s">
        <v>140</v>
      </c>
      <c r="I40" s="22" t="s">
        <v>141</v>
      </c>
      <c r="J40" s="25">
        <v>45902</v>
      </c>
      <c r="K40" s="22"/>
      <c r="L40" s="22" t="s">
        <v>76</v>
      </c>
      <c r="M40" s="22" t="s">
        <v>77</v>
      </c>
      <c r="N40" s="22" t="s">
        <v>69</v>
      </c>
      <c r="O40" s="22" t="s">
        <v>67</v>
      </c>
      <c r="P40" s="22"/>
      <c r="Q40" s="22"/>
      <c r="R40" s="23"/>
      <c r="S40" s="23">
        <f t="shared" si="0"/>
        <v>0</v>
      </c>
      <c r="T40" s="23">
        <f t="shared" si="1"/>
        <v>0</v>
      </c>
      <c r="U40" s="23">
        <f t="shared" si="2"/>
        <v>0</v>
      </c>
      <c r="V40" s="23">
        <f t="shared" si="3"/>
        <v>0</v>
      </c>
    </row>
    <row r="41" spans="2:22" ht="54.75" customHeight="1" x14ac:dyDescent="0.3">
      <c r="B41" s="16" t="s">
        <v>215</v>
      </c>
      <c r="C41" s="18">
        <v>3509</v>
      </c>
      <c r="D41" s="16" t="s">
        <v>12</v>
      </c>
      <c r="E41" s="16" t="s">
        <v>135</v>
      </c>
      <c r="F41" s="16" t="s">
        <v>85</v>
      </c>
      <c r="G41" s="22" t="s">
        <v>139</v>
      </c>
      <c r="H41" s="22" t="s">
        <v>140</v>
      </c>
      <c r="I41" s="22" t="s">
        <v>141</v>
      </c>
      <c r="J41" s="25">
        <v>45341</v>
      </c>
      <c r="K41" s="22"/>
      <c r="L41" s="22" t="s">
        <v>76</v>
      </c>
      <c r="M41" s="22" t="s">
        <v>77</v>
      </c>
      <c r="N41" s="22" t="s">
        <v>69</v>
      </c>
      <c r="O41" s="22" t="s">
        <v>67</v>
      </c>
      <c r="P41" s="22"/>
      <c r="Q41" s="22"/>
      <c r="R41" s="23"/>
      <c r="S41" s="23">
        <f t="shared" si="0"/>
        <v>0</v>
      </c>
      <c r="T41" s="23">
        <f t="shared" si="1"/>
        <v>0</v>
      </c>
      <c r="U41" s="23">
        <f t="shared" si="2"/>
        <v>0</v>
      </c>
      <c r="V41" s="23">
        <f t="shared" si="3"/>
        <v>0</v>
      </c>
    </row>
    <row r="42" spans="2:22" ht="54.75" customHeight="1" x14ac:dyDescent="0.3">
      <c r="B42" s="16" t="s">
        <v>216</v>
      </c>
      <c r="C42" s="18">
        <v>4240</v>
      </c>
      <c r="D42" s="16" t="s">
        <v>12</v>
      </c>
      <c r="E42" s="16" t="s">
        <v>135</v>
      </c>
      <c r="F42" s="16" t="s">
        <v>85</v>
      </c>
      <c r="G42" s="22" t="s">
        <v>139</v>
      </c>
      <c r="H42" s="22" t="s">
        <v>140</v>
      </c>
      <c r="I42" s="22" t="s">
        <v>141</v>
      </c>
      <c r="J42" s="25">
        <v>45663</v>
      </c>
      <c r="K42" s="22"/>
      <c r="L42" s="22" t="s">
        <v>76</v>
      </c>
      <c r="M42" s="22" t="s">
        <v>77</v>
      </c>
      <c r="N42" s="22" t="s">
        <v>69</v>
      </c>
      <c r="O42" s="22" t="s">
        <v>70</v>
      </c>
      <c r="P42" s="22"/>
      <c r="Q42" s="22"/>
      <c r="R42" s="23"/>
      <c r="S42" s="23">
        <f t="shared" si="0"/>
        <v>0</v>
      </c>
      <c r="T42" s="23">
        <f t="shared" si="1"/>
        <v>0</v>
      </c>
      <c r="U42" s="23">
        <f t="shared" si="2"/>
        <v>0</v>
      </c>
      <c r="V42" s="23">
        <f t="shared" si="3"/>
        <v>0</v>
      </c>
    </row>
    <row r="43" spans="2:22" ht="41.25" customHeight="1" x14ac:dyDescent="0.3">
      <c r="B43" s="16" t="s">
        <v>217</v>
      </c>
      <c r="C43" s="18">
        <v>8588.7999999999993</v>
      </c>
      <c r="D43" s="16" t="s">
        <v>142</v>
      </c>
      <c r="E43" s="16" t="s">
        <v>99</v>
      </c>
      <c r="F43" s="16" t="s">
        <v>85</v>
      </c>
      <c r="G43" s="22" t="s">
        <v>143</v>
      </c>
      <c r="H43" s="22" t="s">
        <v>144</v>
      </c>
      <c r="I43" s="22" t="s">
        <v>145</v>
      </c>
      <c r="J43" s="25">
        <v>43640</v>
      </c>
      <c r="K43" s="22"/>
      <c r="L43" s="22" t="s">
        <v>67</v>
      </c>
      <c r="M43" s="22" t="s">
        <v>68</v>
      </c>
      <c r="N43" s="22" t="s">
        <v>69</v>
      </c>
      <c r="O43" s="22" t="s">
        <v>76</v>
      </c>
      <c r="P43" s="22"/>
      <c r="Q43" s="22"/>
      <c r="R43" s="23"/>
      <c r="S43" s="23">
        <f t="shared" si="0"/>
        <v>0</v>
      </c>
      <c r="T43" s="23">
        <f t="shared" si="1"/>
        <v>0</v>
      </c>
      <c r="U43" s="23">
        <f t="shared" si="2"/>
        <v>0</v>
      </c>
      <c r="V43" s="23">
        <f t="shared" si="3"/>
        <v>0</v>
      </c>
    </row>
    <row r="44" spans="2:22" ht="41.25" customHeight="1" x14ac:dyDescent="0.3">
      <c r="B44" s="16" t="s">
        <v>218</v>
      </c>
      <c r="C44" s="18">
        <v>5265</v>
      </c>
      <c r="D44" s="16" t="s">
        <v>142</v>
      </c>
      <c r="E44" s="16" t="s">
        <v>104</v>
      </c>
      <c r="F44" s="16" t="s">
        <v>85</v>
      </c>
      <c r="G44" s="22" t="s">
        <v>146</v>
      </c>
      <c r="H44" s="22" t="s">
        <v>147</v>
      </c>
      <c r="I44" s="22" t="s">
        <v>148</v>
      </c>
      <c r="J44" s="25">
        <v>45572</v>
      </c>
      <c r="K44" s="22"/>
      <c r="L44" s="22" t="s">
        <v>67</v>
      </c>
      <c r="M44" s="22" t="s">
        <v>68</v>
      </c>
      <c r="N44" s="22" t="s">
        <v>69</v>
      </c>
      <c r="O44" s="22" t="s">
        <v>67</v>
      </c>
      <c r="P44" s="22"/>
      <c r="Q44" s="22"/>
      <c r="R44" s="23"/>
      <c r="S44" s="23">
        <f t="shared" si="0"/>
        <v>0</v>
      </c>
      <c r="T44" s="23">
        <f t="shared" si="1"/>
        <v>0</v>
      </c>
      <c r="U44" s="23">
        <f t="shared" si="2"/>
        <v>0</v>
      </c>
      <c r="V44" s="23">
        <f t="shared" si="3"/>
        <v>0</v>
      </c>
    </row>
    <row r="45" spans="2:22" ht="41.25" customHeight="1" x14ac:dyDescent="0.3">
      <c r="B45" s="16" t="s">
        <v>219</v>
      </c>
      <c r="C45" s="18">
        <v>5253.36</v>
      </c>
      <c r="D45" s="16" t="s">
        <v>142</v>
      </c>
      <c r="E45" s="16" t="s">
        <v>104</v>
      </c>
      <c r="F45" s="16" t="s">
        <v>85</v>
      </c>
      <c r="G45" s="22" t="s">
        <v>146</v>
      </c>
      <c r="H45" s="22" t="s">
        <v>147</v>
      </c>
      <c r="I45" s="22" t="s">
        <v>148</v>
      </c>
      <c r="J45" s="25">
        <v>45754</v>
      </c>
      <c r="K45" s="22"/>
      <c r="L45" s="22" t="s">
        <v>67</v>
      </c>
      <c r="M45" s="22" t="s">
        <v>68</v>
      </c>
      <c r="N45" s="22" t="s">
        <v>69</v>
      </c>
      <c r="O45" s="22" t="s">
        <v>67</v>
      </c>
      <c r="P45" s="22"/>
      <c r="Q45" s="22"/>
      <c r="R45" s="23"/>
      <c r="S45" s="23">
        <f t="shared" si="0"/>
        <v>0</v>
      </c>
      <c r="T45" s="23">
        <f t="shared" si="1"/>
        <v>0</v>
      </c>
      <c r="U45" s="23">
        <f t="shared" si="2"/>
        <v>0</v>
      </c>
      <c r="V45" s="23">
        <f t="shared" si="3"/>
        <v>0</v>
      </c>
    </row>
    <row r="46" spans="2:22" ht="41.25" customHeight="1" x14ac:dyDescent="0.3">
      <c r="B46" s="16" t="s">
        <v>220</v>
      </c>
      <c r="C46" s="18">
        <v>4500</v>
      </c>
      <c r="D46" s="16" t="s">
        <v>142</v>
      </c>
      <c r="E46" s="16" t="s">
        <v>104</v>
      </c>
      <c r="F46" s="16" t="s">
        <v>85</v>
      </c>
      <c r="G46" s="22" t="s">
        <v>146</v>
      </c>
      <c r="H46" s="22" t="s">
        <v>147</v>
      </c>
      <c r="I46" s="22" t="s">
        <v>148</v>
      </c>
      <c r="J46" s="25">
        <v>46223</v>
      </c>
      <c r="K46" s="22"/>
      <c r="L46" s="22" t="s">
        <v>76</v>
      </c>
      <c r="M46" s="22" t="s">
        <v>68</v>
      </c>
      <c r="N46" s="22" t="s">
        <v>69</v>
      </c>
      <c r="O46" s="22" t="s">
        <v>70</v>
      </c>
      <c r="P46" s="22"/>
      <c r="Q46" s="22"/>
      <c r="R46" s="23"/>
      <c r="S46" s="23">
        <f t="shared" si="0"/>
        <v>0</v>
      </c>
      <c r="T46" s="23">
        <f t="shared" si="1"/>
        <v>0</v>
      </c>
      <c r="U46" s="23">
        <f t="shared" si="2"/>
        <v>0</v>
      </c>
      <c r="V46" s="23">
        <f t="shared" si="3"/>
        <v>0</v>
      </c>
    </row>
    <row r="47" spans="2:22" ht="41.25" customHeight="1" x14ac:dyDescent="0.3">
      <c r="B47" s="16" t="s">
        <v>221</v>
      </c>
      <c r="C47" s="18">
        <v>6000</v>
      </c>
      <c r="D47" s="16" t="s">
        <v>149</v>
      </c>
      <c r="E47" s="16" t="s">
        <v>104</v>
      </c>
      <c r="F47" s="16" t="s">
        <v>72</v>
      </c>
      <c r="G47" s="22" t="s">
        <v>150</v>
      </c>
      <c r="H47" s="22" t="s">
        <v>151</v>
      </c>
      <c r="I47" s="22" t="s">
        <v>152</v>
      </c>
      <c r="J47" s="25">
        <v>46027</v>
      </c>
      <c r="K47" s="22"/>
      <c r="L47" s="22" t="s">
        <v>76</v>
      </c>
      <c r="M47" s="22" t="s">
        <v>68</v>
      </c>
      <c r="N47" s="22" t="s">
        <v>153</v>
      </c>
      <c r="O47" s="22" t="s">
        <v>76</v>
      </c>
      <c r="P47" s="22"/>
      <c r="Q47" s="22"/>
      <c r="R47" s="23">
        <v>500000</v>
      </c>
      <c r="S47" s="23">
        <f t="shared" si="0"/>
        <v>600000</v>
      </c>
      <c r="T47" s="23">
        <f t="shared" si="1"/>
        <v>720000</v>
      </c>
      <c r="U47" s="23">
        <f t="shared" si="2"/>
        <v>864000</v>
      </c>
      <c r="V47" s="23">
        <f t="shared" si="3"/>
        <v>1036800</v>
      </c>
    </row>
    <row r="48" spans="2:22" ht="41.25" customHeight="1" x14ac:dyDescent="0.3">
      <c r="B48" s="16" t="s">
        <v>222</v>
      </c>
      <c r="C48" s="18">
        <v>5500</v>
      </c>
      <c r="D48" s="16" t="s">
        <v>154</v>
      </c>
      <c r="E48" s="16" t="s">
        <v>104</v>
      </c>
      <c r="F48" s="16" t="s">
        <v>72</v>
      </c>
      <c r="G48" s="22" t="s">
        <v>155</v>
      </c>
      <c r="H48" s="22" t="s">
        <v>156</v>
      </c>
      <c r="I48" s="22" t="s">
        <v>157</v>
      </c>
      <c r="J48" s="25">
        <v>46027</v>
      </c>
      <c r="K48" s="22"/>
      <c r="L48" s="22" t="s">
        <v>76</v>
      </c>
      <c r="M48" s="22" t="s">
        <v>68</v>
      </c>
      <c r="N48" s="22" t="s">
        <v>153</v>
      </c>
      <c r="O48" s="22" t="s">
        <v>76</v>
      </c>
      <c r="P48" s="22"/>
      <c r="Q48" s="22"/>
      <c r="R48" s="23">
        <v>1000000</v>
      </c>
      <c r="S48" s="23">
        <f t="shared" si="0"/>
        <v>1200000</v>
      </c>
      <c r="T48" s="23">
        <f t="shared" si="1"/>
        <v>1440000</v>
      </c>
      <c r="U48" s="23">
        <f t="shared" si="2"/>
        <v>1728000</v>
      </c>
      <c r="V48" s="23">
        <f t="shared" si="3"/>
        <v>2073600</v>
      </c>
    </row>
    <row r="49" spans="2:22" ht="41.25" customHeight="1" x14ac:dyDescent="0.3">
      <c r="B49" s="16" t="s">
        <v>223</v>
      </c>
      <c r="C49" s="18">
        <v>5500</v>
      </c>
      <c r="D49" s="16" t="s">
        <v>154</v>
      </c>
      <c r="E49" s="16" t="s">
        <v>104</v>
      </c>
      <c r="F49" s="16" t="s">
        <v>72</v>
      </c>
      <c r="G49" s="22" t="s">
        <v>158</v>
      </c>
      <c r="H49" s="22" t="s">
        <v>156</v>
      </c>
      <c r="I49" s="22" t="s">
        <v>157</v>
      </c>
      <c r="J49" s="25">
        <v>46237</v>
      </c>
      <c r="K49" s="22"/>
      <c r="L49" s="22" t="s">
        <v>76</v>
      </c>
      <c r="M49" s="22" t="s">
        <v>68</v>
      </c>
      <c r="N49" s="22" t="s">
        <v>28</v>
      </c>
      <c r="O49" s="22" t="s">
        <v>70</v>
      </c>
      <c r="P49" s="22"/>
      <c r="Q49" s="22"/>
      <c r="R49" s="23">
        <v>2000000</v>
      </c>
      <c r="S49" s="23">
        <f t="shared" si="0"/>
        <v>2400000</v>
      </c>
      <c r="T49" s="23">
        <f t="shared" si="1"/>
        <v>2880000</v>
      </c>
      <c r="U49" s="23">
        <f t="shared" si="2"/>
        <v>3456000</v>
      </c>
      <c r="V49" s="23">
        <f t="shared" si="3"/>
        <v>4147200</v>
      </c>
    </row>
    <row r="50" spans="2:22" ht="41.25" customHeight="1" x14ac:dyDescent="0.3">
      <c r="B50" s="16" t="s">
        <v>224</v>
      </c>
      <c r="C50" s="18">
        <v>5565</v>
      </c>
      <c r="D50" s="16" t="s">
        <v>19</v>
      </c>
      <c r="E50" s="16" t="s">
        <v>104</v>
      </c>
      <c r="F50" s="16" t="s">
        <v>159</v>
      </c>
      <c r="G50" s="22" t="s">
        <v>160</v>
      </c>
      <c r="H50" s="22" t="s">
        <v>161</v>
      </c>
      <c r="I50" s="22" t="s">
        <v>162</v>
      </c>
      <c r="J50" s="25">
        <v>45411</v>
      </c>
      <c r="K50" s="22"/>
      <c r="L50" s="22" t="s">
        <v>70</v>
      </c>
      <c r="M50" s="22" t="s">
        <v>77</v>
      </c>
      <c r="N50" s="22" t="s">
        <v>69</v>
      </c>
      <c r="O50" s="22" t="s">
        <v>70</v>
      </c>
      <c r="P50" s="22"/>
      <c r="Q50" s="22"/>
    </row>
    <row r="51" spans="2:22" ht="41.25" customHeight="1" x14ac:dyDescent="0.3">
      <c r="B51" s="16" t="s">
        <v>225</v>
      </c>
      <c r="C51" s="18">
        <v>13500</v>
      </c>
      <c r="D51" s="16" t="s">
        <v>20</v>
      </c>
      <c r="E51" s="16" t="s">
        <v>63</v>
      </c>
      <c r="F51" s="16" t="s">
        <v>72</v>
      </c>
      <c r="G51" s="22" t="s">
        <v>163</v>
      </c>
      <c r="H51" s="22" t="s">
        <v>164</v>
      </c>
      <c r="I51" s="22" t="s">
        <v>165</v>
      </c>
      <c r="J51" s="25">
        <v>46050</v>
      </c>
      <c r="K51" s="22"/>
      <c r="L51" s="22" t="s">
        <v>76</v>
      </c>
      <c r="M51" s="22" t="s">
        <v>77</v>
      </c>
      <c r="N51" s="22" t="s">
        <v>69</v>
      </c>
      <c r="O51" s="22" t="s">
        <v>67</v>
      </c>
      <c r="P51" s="22"/>
      <c r="Q51" s="22"/>
    </row>
    <row r="52" spans="2:22" ht="41.25" customHeight="1" x14ac:dyDescent="0.3">
      <c r="B52" s="16" t="s">
        <v>226</v>
      </c>
      <c r="C52" s="18">
        <v>5000</v>
      </c>
      <c r="D52" s="16" t="s">
        <v>20</v>
      </c>
      <c r="E52" s="16" t="s">
        <v>104</v>
      </c>
      <c r="F52" s="16" t="s">
        <v>72</v>
      </c>
      <c r="G52" s="22" t="s">
        <v>166</v>
      </c>
      <c r="H52" s="22" t="s">
        <v>167</v>
      </c>
      <c r="I52" s="22" t="s">
        <v>168</v>
      </c>
      <c r="J52" s="25">
        <v>46161</v>
      </c>
      <c r="K52" s="22"/>
      <c r="L52" s="22" t="s">
        <v>67</v>
      </c>
      <c r="M52" s="22" t="s">
        <v>77</v>
      </c>
      <c r="N52" s="22" t="s">
        <v>69</v>
      </c>
      <c r="O52" s="22" t="s">
        <v>67</v>
      </c>
      <c r="P52" s="22"/>
      <c r="Q52" s="22"/>
    </row>
    <row r="53" spans="2:22" ht="41.25" customHeight="1" x14ac:dyDescent="0.3">
      <c r="B53" s="16" t="s">
        <v>227</v>
      </c>
      <c r="C53" s="16" t="s">
        <v>86</v>
      </c>
      <c r="D53" s="16" t="s">
        <v>20</v>
      </c>
      <c r="E53" s="16" t="s">
        <v>104</v>
      </c>
      <c r="F53" s="16" t="s">
        <v>72</v>
      </c>
      <c r="G53" s="22" t="s">
        <v>169</v>
      </c>
      <c r="H53" s="22" t="s">
        <v>167</v>
      </c>
      <c r="I53" s="22" t="s">
        <v>170</v>
      </c>
      <c r="J53" s="25"/>
      <c r="K53" s="22"/>
      <c r="L53" s="22" t="s">
        <v>76</v>
      </c>
      <c r="M53" s="22" t="s">
        <v>77</v>
      </c>
      <c r="N53" s="22" t="s">
        <v>69</v>
      </c>
      <c r="O53" s="22" t="s">
        <v>67</v>
      </c>
      <c r="P53" s="22"/>
      <c r="Q53" s="22"/>
    </row>
    <row r="54" spans="2:22" ht="41.25" customHeight="1" x14ac:dyDescent="0.3">
      <c r="B54" s="16" t="s">
        <v>228</v>
      </c>
      <c r="C54" s="16" t="s">
        <v>86</v>
      </c>
      <c r="D54" s="16" t="s">
        <v>171</v>
      </c>
      <c r="E54" s="16" t="s">
        <v>172</v>
      </c>
      <c r="F54" s="16" t="s">
        <v>72</v>
      </c>
      <c r="G54" s="22" t="s">
        <v>173</v>
      </c>
      <c r="H54" s="22" t="s">
        <v>174</v>
      </c>
      <c r="I54" s="22" t="s">
        <v>175</v>
      </c>
      <c r="J54" s="25"/>
      <c r="K54" s="22"/>
      <c r="L54" s="22"/>
      <c r="M54" s="22"/>
      <c r="N54" s="22"/>
      <c r="O54" s="22"/>
      <c r="P54" s="22"/>
      <c r="Q54" s="22"/>
    </row>
    <row r="55" spans="2:22" ht="41.25" customHeight="1" x14ac:dyDescent="0.3">
      <c r="B55" s="16" t="s">
        <v>229</v>
      </c>
      <c r="C55" s="16" t="s">
        <v>86</v>
      </c>
      <c r="D55" s="16" t="s">
        <v>176</v>
      </c>
      <c r="E55" s="16" t="s">
        <v>172</v>
      </c>
      <c r="F55" s="16" t="s">
        <v>159</v>
      </c>
      <c r="G55" s="22" t="s">
        <v>177</v>
      </c>
      <c r="H55" s="22" t="s">
        <v>178</v>
      </c>
      <c r="I55" s="22" t="s">
        <v>179</v>
      </c>
      <c r="J55" s="25"/>
      <c r="K55" s="22"/>
      <c r="L55" s="22"/>
      <c r="M55" s="22"/>
      <c r="N55" s="22"/>
      <c r="O55" s="22"/>
      <c r="P55" s="22"/>
      <c r="Q55" s="22"/>
    </row>
  </sheetData>
  <phoneticPr fontId="7" type="noConversion"/>
  <dataValidations count="3">
    <dataValidation type="list" allowBlank="1" sqref="W6:W55" xr:uid="{00000000-0002-0000-0100-000000000000}">
      <formula1>"Abaixo do esperado,Dentro do esperado,Acima do esperado"</formula1>
      <formula2>0</formula2>
    </dataValidation>
    <dataValidation type="list" allowBlank="1" sqref="X6:X55 AA6:AA55" xr:uid="{00000000-0002-0000-0100-000001000000}">
      <formula1>"Baixo,Médio,Alto"</formula1>
      <formula2>0</formula2>
    </dataValidation>
    <dataValidation type="list" allowBlank="1" sqref="Y6:Y55" xr:uid="{00000000-0002-0000-0100-000002000000}">
      <formula1>"Sim,Não"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Org</vt:lpstr>
      <vt:lpstr>Organograma</vt:lpstr>
      <vt:lpstr>Avaliação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Raquel da Silva Lopes</dc:creator>
  <dc:description/>
  <cp:lastModifiedBy>TI Fazenda Sertãozinho</cp:lastModifiedBy>
  <cp:revision>0</cp:revision>
  <dcterms:created xsi:type="dcterms:W3CDTF">2026-07-26T13:07:23Z</dcterms:created>
  <dcterms:modified xsi:type="dcterms:W3CDTF">2026-08-02T22:22:33Z</dcterms:modified>
  <dc:language>en-US</dc:language>
</cp:coreProperties>
</file>