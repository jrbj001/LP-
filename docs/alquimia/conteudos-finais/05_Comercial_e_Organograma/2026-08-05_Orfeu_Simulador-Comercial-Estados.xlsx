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Base Histórica 2025" sheetId="2" state="visible" r:id="rId2"/>
    <sheet xmlns:r="http://schemas.openxmlformats.org/officeDocument/2006/relationships" name="Projeção Receita" sheetId="3" state="visible" r:id="rId3"/>
    <sheet xmlns:r="http://schemas.openxmlformats.org/officeDocument/2006/relationships" name="Oportunidade GAP Mix" sheetId="4" state="visible" r:id="rId4"/>
    <sheet xmlns:r="http://schemas.openxmlformats.org/officeDocument/2006/relationships" name="B2B por Estado e Cidade" sheetId="5" state="visible" r:id="rId5"/>
    <sheet xmlns:r="http://schemas.openxmlformats.org/officeDocument/2006/relationships" name="Funcionários" sheetId="6" state="visible" r:id="rId6"/>
    <sheet xmlns:r="http://schemas.openxmlformats.org/officeDocument/2006/relationships" name="Funcionários por Funçã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R$ #,##0"/>
    <numFmt numFmtId="166" formatCode="&quot;R$&quot; #,##0.00"/>
    <numFmt numFmtId="167" formatCode="&quot;R$&quot; #,##0"/>
    <numFmt numFmtId="168" formatCode="0.0"/>
    <numFmt numFmtId="169" formatCode="0.0000"/>
    <numFmt numFmtId="170" formatCode="0.0&quot;x&quot;"/>
  </numFmts>
  <fonts count="35">
    <font>
      <name val="Calibri"/>
      <family val="2"/>
      <color theme="1"/>
      <sz val="11"/>
      <scheme val="minor"/>
    </font>
    <font>
      <name val="Avenir Next LT Pro"/>
      <b val="1"/>
      <color rgb="00FFFFFF"/>
      <sz val="16"/>
    </font>
    <font>
      <name val="Avenir Next LT Pro"/>
      <b val="1"/>
      <color rgb="00FFFFFF"/>
      <sz val="12"/>
    </font>
    <font>
      <name val="Avenir Next LT Pro"/>
      <color rgb="001A1A1A"/>
      <sz val="10"/>
    </font>
    <font>
      <name val="Avenir Next LT Pro"/>
      <b val="1"/>
      <color rgb="00C07028"/>
      <sz val="10"/>
    </font>
    <font>
      <name val="Avenir Next LT Pro"/>
      <color rgb="001A1A1A"/>
      <sz val="9.5"/>
    </font>
    <font>
      <name val="Avenir Next LT Pro"/>
      <b val="1"/>
      <color rgb="001A1A1A"/>
      <sz val="10.5"/>
    </font>
    <font>
      <name val="Avenir Next LT Pro"/>
      <i val="1"/>
      <color rgb="006E6E6E"/>
      <sz val="8.5"/>
    </font>
    <font>
      <b val="1"/>
      <sz val="9.5"/>
    </font>
    <font>
      <b val="1"/>
      <sz val="10"/>
    </font>
    <font>
      <i val="1"/>
      <sz val="9.5"/>
    </font>
    <font>
      <b val="1"/>
      <color rgb="002A5C2E"/>
      <sz val="14"/>
    </font>
    <font>
      <i val="1"/>
      <color rgb="006E6E6E"/>
      <sz val="9"/>
    </font>
    <font>
      <b val="1"/>
      <color rgb="00FFFFFF"/>
      <sz val="10.5"/>
    </font>
    <font>
      <b val="1"/>
    </font>
    <font>
      <i val="1"/>
      <color rgb="006E6E6E"/>
      <sz val="9.5"/>
    </font>
    <font>
      <b val="1"/>
      <color rgb="00C07028"/>
    </font>
    <font>
      <b val="1"/>
      <i val="1"/>
      <color rgb="00B03020"/>
      <sz val="9.5"/>
    </font>
    <font>
      <b val="1"/>
      <sz val="11"/>
    </font>
    <font>
      <b val="1"/>
      <color rgb="00FFFFFF"/>
      <sz val="10"/>
    </font>
    <font>
      <b val="1"/>
      <color rgb="002A5C2E"/>
      <sz val="13"/>
    </font>
    <font>
      <i val="1"/>
    </font>
    <font/>
    <font>
      <b val="1"/>
      <color rgb="002A5C2E"/>
      <sz val="11"/>
    </font>
    <font>
      <i val="1"/>
      <color rgb="006E6E6E"/>
      <sz val="8.5"/>
    </font>
    <font>
      <color rgb="00C07028"/>
    </font>
    <font>
      <i val="1"/>
      <color rgb="006E6E6E"/>
    </font>
    <font>
      <b val="1"/>
      <color rgb="002A5C2E"/>
    </font>
    <font>
      <color rgb="001A1A1A"/>
      <sz val="9.5"/>
    </font>
    <font>
      <b val="1"/>
      <color rgb="000F6B66"/>
      <sz val="14"/>
    </font>
    <font>
      <b val="1"/>
      <color rgb="000F6B66"/>
      <sz val="11"/>
    </font>
    <font>
      <b val="1"/>
      <color rgb="00E09A2E"/>
    </font>
    <font>
      <b val="1"/>
      <color rgb="00FFFFFF"/>
      <sz val="9.5"/>
    </font>
    <font>
      <b val="1"/>
      <color rgb="00B03020"/>
    </font>
    <font>
      <i val="1"/>
      <color rgb="00B03020"/>
      <sz val="9"/>
    </font>
  </fonts>
  <fills count="11">
    <fill>
      <patternFill/>
    </fill>
    <fill>
      <patternFill patternType="gray125"/>
    </fill>
    <fill>
      <patternFill patternType="solid">
        <fgColor rgb="002A5C2E"/>
      </patternFill>
    </fill>
    <fill>
      <patternFill patternType="solid">
        <fgColor rgb="00F7E9DC"/>
      </patternFill>
    </fill>
    <fill>
      <patternFill patternType="solid">
        <fgColor rgb="00E8EEE6"/>
      </patternFill>
    </fill>
    <fill>
      <patternFill patternType="solid">
        <fgColor rgb="00F2F2F0"/>
      </patternFill>
    </fill>
    <fill>
      <patternFill patternType="solid">
        <fgColor rgb="00FBF0DC"/>
      </patternFill>
    </fill>
    <fill>
      <patternFill patternType="solid">
        <fgColor rgb="000F6B66"/>
      </patternFill>
    </fill>
    <fill>
      <patternFill patternType="solid">
        <fgColor rgb="00E4EFEE"/>
      </patternFill>
    </fill>
    <fill>
      <patternFill patternType="solid">
        <fgColor rgb="00FBE4DE"/>
      </patternFill>
    </fill>
    <fill>
      <patternFill patternType="solid">
        <fgColor rgb="00FDF1EE"/>
      </patternFill>
    </fill>
  </fills>
  <borders count="8">
    <border>
      <left/>
      <right/>
      <top/>
      <bottom/>
      <diagonal/>
    </border>
    <border>
      <left style="thin">
        <color rgb="00DDDDD8"/>
      </left>
      <right style="thin">
        <color rgb="00DDDDD8"/>
      </right>
      <top style="thin">
        <color rgb="00DDDDD8"/>
      </top>
      <bottom style="thin">
        <color rgb="00DDDDD8"/>
      </bottom>
    </border>
    <border>
      <left/>
      <right/>
      <top style="thin">
        <color rgb="00DDDDD8"/>
      </top>
      <bottom/>
      <diagonal/>
    </border>
    <border>
      <left/>
      <right style="thin">
        <color rgb="00DDDDD8"/>
      </right>
      <top style="thin">
        <color rgb="00DDDDD8"/>
      </top>
      <bottom/>
      <diagonal/>
    </border>
    <border>
      <left/>
      <right/>
      <top style="thin">
        <color rgb="00DDDDD8"/>
      </top>
      <bottom style="thin">
        <color rgb="00DDDDD8"/>
      </bottom>
      <diagonal/>
    </border>
    <border>
      <left/>
      <right style="thin">
        <color rgb="00DDDDD8"/>
      </right>
      <top style="thin">
        <color rgb="00DDDDD8"/>
      </top>
      <bottom style="thin">
        <color rgb="00DDDDD8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/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3" borderId="1" pivotButton="0" quotePrefix="0" xfId="0"/>
    <xf numFmtId="165" fontId="5" fillId="0" borderId="1" pivotButton="0" quotePrefix="0" xfId="0"/>
    <xf numFmtId="0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0" pivotButton="0" quotePrefix="0" xfId="0"/>
    <xf numFmtId="164" fontId="5" fillId="0" borderId="1" pivotButton="0" quotePrefix="0" xfId="0"/>
    <xf numFmtId="3" fontId="5" fillId="0" borderId="1" pivotButton="0" quotePrefix="0" xfId="0"/>
    <xf numFmtId="0" fontId="8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165" fontId="9" fillId="5" borderId="0" pivotButton="0" quotePrefix="0" xfId="0"/>
    <xf numFmtId="0" fontId="9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wrapText="1"/>
    </xf>
    <xf numFmtId="0" fontId="13" fillId="2" borderId="0" applyAlignment="1" pivotButton="0" quotePrefix="0" xfId="0">
      <alignment vertical="center" wrapText="1"/>
    </xf>
    <xf numFmtId="0" fontId="14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14" fillId="5" borderId="6" applyAlignment="1" pivotButton="0" quotePrefix="0" xfId="0">
      <alignment horizontal="left" vertical="center"/>
    </xf>
    <xf numFmtId="0" fontId="0" fillId="5" borderId="6" applyAlignment="1" pivotButton="0" quotePrefix="0" xfId="0">
      <alignment horizontal="center" vertical="center"/>
    </xf>
    <xf numFmtId="0" fontId="14" fillId="4" borderId="6" applyAlignment="1" pivotButton="0" quotePrefix="0" xfId="0">
      <alignment horizontal="left" vertical="center"/>
    </xf>
    <xf numFmtId="0" fontId="14" fillId="4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horizontal="center" vertical="center"/>
    </xf>
    <xf numFmtId="0" fontId="16" fillId="4" borderId="6" applyAlignment="1" pivotButton="0" quotePrefix="0" xfId="0">
      <alignment horizontal="left" vertical="center"/>
    </xf>
    <xf numFmtId="0" fontId="16" fillId="4" borderId="6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9" fillId="2" borderId="0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7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17" fillId="0" borderId="6" applyAlignment="1" pivotButton="0" quotePrefix="0" xfId="0">
      <alignment wrapText="1"/>
    </xf>
    <xf numFmtId="166" fontId="0" fillId="0" borderId="6" applyAlignment="1" pivotButton="0" quotePrefix="0" xfId="0">
      <alignment vertical="center" wrapText="1"/>
    </xf>
    <xf numFmtId="0" fontId="12" fillId="0" borderId="6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20" fillId="0" borderId="0" pivotButton="0" quotePrefix="0" xfId="0"/>
    <xf numFmtId="0" fontId="14" fillId="0" borderId="0" pivotButton="0" quotePrefix="0" xfId="0"/>
    <xf numFmtId="0" fontId="16" fillId="3" borderId="0" pivotButton="0" quotePrefix="0" xfId="0"/>
    <xf numFmtId="0" fontId="14" fillId="5" borderId="6" pivotButton="0" quotePrefix="0" xfId="0"/>
    <xf numFmtId="167" fontId="0" fillId="5" borderId="6" pivotButton="0" quotePrefix="0" xfId="0"/>
    <xf numFmtId="0" fontId="21" fillId="0" borderId="6" pivotButton="0" quotePrefix="0" xfId="0"/>
    <xf numFmtId="167" fontId="0" fillId="0" borderId="6" pivotButton="0" quotePrefix="0" xfId="0"/>
    <xf numFmtId="0" fontId="16" fillId="4" borderId="6" pivotButton="0" quotePrefix="0" xfId="0"/>
    <xf numFmtId="167" fontId="16" fillId="4" borderId="6" pivotButton="0" quotePrefix="0" xfId="0"/>
    <xf numFmtId="167" fontId="0" fillId="0" borderId="0" pivotButton="0" quotePrefix="0" xfId="0"/>
    <xf numFmtId="0" fontId="13" fillId="2" borderId="7" applyAlignment="1" pivotButton="0" quotePrefix="0" xfId="0">
      <alignment vertical="center" wrapText="1"/>
    </xf>
    <xf numFmtId="0" fontId="22" fillId="0" borderId="7" pivotButton="0" quotePrefix="0" xfId="0"/>
    <xf numFmtId="0" fontId="22" fillId="0" borderId="6" applyAlignment="1" pivotButton="0" quotePrefix="0" xfId="0">
      <alignment horizontal="center" vertical="center"/>
    </xf>
    <xf numFmtId="0" fontId="22" fillId="5" borderId="6" applyAlignment="1" pivotButton="0" quotePrefix="0" xfId="0">
      <alignment horizontal="center" vertical="center"/>
    </xf>
    <xf numFmtId="0" fontId="22" fillId="0" borderId="7" applyAlignment="1" pivotButton="0" quotePrefix="0" xfId="0">
      <alignment wrapText="1"/>
    </xf>
    <xf numFmtId="0" fontId="11" fillId="0" borderId="7" pivotButton="0" quotePrefix="0" xfId="0"/>
    <xf numFmtId="0" fontId="12" fillId="0" borderId="7" applyAlignment="1" pivotButton="0" quotePrefix="0" xfId="0">
      <alignment wrapText="1"/>
    </xf>
    <xf numFmtId="0" fontId="23" fillId="0" borderId="7" pivotButton="0" quotePrefix="0" xfId="0"/>
    <xf numFmtId="0" fontId="14" fillId="0" borderId="7" pivotButton="0" quotePrefix="0" xfId="0"/>
    <xf numFmtId="168" fontId="16" fillId="3" borderId="7" pivotButton="0" quotePrefix="0" xfId="0"/>
    <xf numFmtId="167" fontId="22" fillId="5" borderId="6" pivotButton="0" quotePrefix="0" xfId="0"/>
    <xf numFmtId="167" fontId="22" fillId="0" borderId="6" pivotButton="0" quotePrefix="0" xfId="0"/>
    <xf numFmtId="0" fontId="24" fillId="0" borderId="0" pivotButton="0" quotePrefix="0" xfId="0"/>
    <xf numFmtId="0" fontId="3" fillId="3" borderId="0" pivotButton="0" quotePrefix="0" xfId="0"/>
    <xf numFmtId="0" fontId="22" fillId="0" borderId="0" pivotButton="0" quotePrefix="0" xfId="0"/>
    <xf numFmtId="164" fontId="25" fillId="3" borderId="0" pivotButton="0" quotePrefix="0" xfId="0"/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1" fillId="0" borderId="7" applyAlignment="1" pivotButton="0" quotePrefix="0" xfId="0">
      <alignment wrapText="1"/>
    </xf>
    <xf numFmtId="0" fontId="23" fillId="0" borderId="7" applyAlignment="1" pivotButton="0" quotePrefix="0" xfId="0">
      <alignment horizontal="left" vertical="center"/>
    </xf>
    <xf numFmtId="0" fontId="22" fillId="0" borderId="7" applyAlignment="1" pivotButton="0" quotePrefix="0" xfId="0">
      <alignment horizontal="center" vertical="center"/>
    </xf>
    <xf numFmtId="0" fontId="22" fillId="0" borderId="7" applyAlignment="1" pivotButton="0" quotePrefix="0" xfId="0">
      <alignment vertical="center" wrapText="1"/>
    </xf>
    <xf numFmtId="0" fontId="17" fillId="0" borderId="7" applyAlignment="1" pivotButton="0" quotePrefix="0" xfId="0">
      <alignment wrapText="1"/>
    </xf>
    <xf numFmtId="10" fontId="16" fillId="3" borderId="0" pivotButton="0" quotePrefix="0" xfId="0"/>
    <xf numFmtId="0" fontId="13" fillId="2" borderId="0" applyAlignment="1" pivotButton="0" quotePrefix="0" xfId="0">
      <alignment horizontal="center" vertical="center"/>
    </xf>
    <xf numFmtId="167" fontId="0" fillId="4" borderId="6" pivotButton="0" quotePrefix="0" xfId="0"/>
    <xf numFmtId="0" fontId="26" fillId="0" borderId="6" pivotButton="0" quotePrefix="0" xfId="0"/>
    <xf numFmtId="0" fontId="27" fillId="0" borderId="6" pivotButton="0" quotePrefix="0" xfId="0"/>
    <xf numFmtId="0" fontId="0" fillId="0" borderId="6" pivotButton="0" quotePrefix="0" xfId="0"/>
    <xf numFmtId="164" fontId="0" fillId="0" borderId="6" pivotButton="0" quotePrefix="0" xfId="0"/>
    <xf numFmtId="0" fontId="28" fillId="0" borderId="0" applyAlignment="1" pivotButton="0" quotePrefix="0" xfId="0">
      <alignment wrapText="1"/>
    </xf>
    <xf numFmtId="0" fontId="22" fillId="0" borderId="7" applyAlignment="1" pivotButton="0" quotePrefix="0" xfId="0">
      <alignment horizontal="left" vertical="center"/>
    </xf>
    <xf numFmtId="0" fontId="14" fillId="0" borderId="7" applyAlignment="1" pivotButton="0" quotePrefix="0" xfId="0">
      <alignment wrapText="1"/>
    </xf>
    <xf numFmtId="0" fontId="14" fillId="5" borderId="6" applyAlignment="1" pivotButton="0" quotePrefix="0" xfId="0">
      <alignment vertical="center" wrapText="1"/>
    </xf>
    <xf numFmtId="167" fontId="22" fillId="5" borderId="6" applyAlignment="1" pivotButton="0" quotePrefix="0" xfId="0">
      <alignment vertical="center" wrapText="1"/>
    </xf>
    <xf numFmtId="0" fontId="29" fillId="0" borderId="0" pivotButton="0" quotePrefix="0" xfId="0"/>
    <xf numFmtId="0" fontId="30" fillId="0" borderId="0" pivotButton="0" quotePrefix="0" xfId="0"/>
    <xf numFmtId="9" fontId="31" fillId="6" borderId="0" pivotButton="0" quotePrefix="0" xfId="0"/>
    <xf numFmtId="1" fontId="31" fillId="6" borderId="0" pivotButton="0" quotePrefix="0" xfId="0"/>
    <xf numFmtId="0" fontId="32" fillId="7" borderId="0" applyAlignment="1" pivotButton="0" quotePrefix="0" xfId="0">
      <alignment horizontal="center" vertical="center" wrapText="1"/>
    </xf>
    <xf numFmtId="165" fontId="0" fillId="0" borderId="6" pivotButton="0" quotePrefix="0" xfId="0"/>
    <xf numFmtId="3" fontId="0" fillId="0" borderId="6" pivotButton="0" quotePrefix="0" xfId="0"/>
    <xf numFmtId="0" fontId="14" fillId="8" borderId="0" pivotButton="0" quotePrefix="0" xfId="0"/>
    <xf numFmtId="165" fontId="14" fillId="8" borderId="0" pivotButton="0" quotePrefix="0" xfId="0"/>
    <xf numFmtId="3" fontId="14" fillId="8" borderId="0" pivotButton="0" quotePrefix="0" xfId="0"/>
    <xf numFmtId="0" fontId="0" fillId="8" borderId="0" pivotButton="0" quotePrefix="0" xfId="0"/>
    <xf numFmtId="0" fontId="32" fillId="7" borderId="0" applyAlignment="1" pivotButton="0" quotePrefix="0" xfId="0">
      <alignment horizontal="center" vertical="center"/>
    </xf>
    <xf numFmtId="165" fontId="0" fillId="0" borderId="0" pivotButton="0" quotePrefix="0" xfId="0"/>
    <xf numFmtId="0" fontId="31" fillId="0" borderId="0" pivotButton="0" quotePrefix="0" xfId="0"/>
    <xf numFmtId="164" fontId="31" fillId="0" borderId="0" pivotButton="0" quotePrefix="0" xfId="0"/>
    <xf numFmtId="168" fontId="31" fillId="6" borderId="0" pivotButton="0" quotePrefix="0" xfId="0"/>
    <xf numFmtId="169" fontId="14" fillId="8" borderId="0" pivotButton="0" quotePrefix="0" xfId="0"/>
    <xf numFmtId="0" fontId="7" fillId="0" borderId="0" applyAlignment="1" pivotButton="0" quotePrefix="0" xfId="0">
      <alignment wrapText="1"/>
    </xf>
    <xf numFmtId="0" fontId="14" fillId="8" borderId="6" pivotButton="0" quotePrefix="0" xfId="0"/>
    <xf numFmtId="3" fontId="14" fillId="8" borderId="6" pivotButton="0" quotePrefix="0" xfId="0"/>
    <xf numFmtId="170" fontId="14" fillId="8" borderId="6" pivotButton="0" quotePrefix="0" xfId="0"/>
    <xf numFmtId="170" fontId="0" fillId="0" borderId="6" pivotButton="0" quotePrefix="0" xfId="0"/>
    <xf numFmtId="0" fontId="12" fillId="0" borderId="6" pivotButton="0" quotePrefix="0" xfId="0"/>
    <xf numFmtId="3" fontId="12" fillId="0" borderId="6" pivotButton="0" quotePrefix="0" xfId="0"/>
    <xf numFmtId="0" fontId="33" fillId="9" borderId="6" pivotButton="0" quotePrefix="0" xfId="0"/>
    <xf numFmtId="3" fontId="33" fillId="9" borderId="6" pivotButton="0" quotePrefix="0" xfId="0"/>
    <xf numFmtId="170" fontId="0" fillId="9" borderId="6" pivotButton="0" quotePrefix="0" xfId="0"/>
    <xf numFmtId="0" fontId="0" fillId="10" borderId="6" pivotButton="0" quotePrefix="0" xfId="0"/>
    <xf numFmtId="3" fontId="0" fillId="10" borderId="6" pivotButton="0" quotePrefix="0" xfId="0"/>
    <xf numFmtId="170" fontId="0" fillId="10" borderId="6" pivotButton="0" quotePrefix="0" xfId="0"/>
    <xf numFmtId="0" fontId="3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34" customWidth="1" min="4" max="4"/>
    <col width="55" customWidth="1" min="5" max="5"/>
    <col width="16" customWidth="1" min="6" max="6"/>
    <col width="50" customWidth="1" min="7" max="7"/>
  </cols>
  <sheetData>
    <row r="1" ht="26" customHeight="1">
      <c r="A1" s="1" t="inlineStr">
        <is>
          <t>SIMULADOR COMERCIAL ORFEU — PREMISSAS</t>
        </is>
      </c>
    </row>
    <row r="3">
      <c r="A3" s="2" t="inlineStr">
        <is>
          <t>1. Crescimento e Aceleração</t>
        </is>
      </c>
    </row>
    <row r="4">
      <c r="A4" s="68" t="inlineStr">
        <is>
          <t>Crescimento orgânico anual — Varejo</t>
        </is>
      </c>
      <c r="B4" s="4" t="n">
        <v>0.255</v>
      </c>
    </row>
    <row r="5">
      <c r="A5" s="68" t="inlineStr">
        <is>
          <t>Crescimento orgânico anual — B2B</t>
        </is>
      </c>
      <c r="B5" s="4" t="n">
        <v>0.255</v>
      </c>
    </row>
    <row r="6">
      <c r="A6" s="3" t="inlineStr">
        <is>
          <t>Bônus de aceleração — ano de entrada na prioridade</t>
        </is>
      </c>
      <c r="B6" s="4" t="n">
        <v>0.25</v>
      </c>
    </row>
    <row r="7">
      <c r="A7" s="3" t="inlineStr">
        <is>
          <t>Bônus de aceleração — 1 ano após entrada</t>
        </is>
      </c>
      <c r="B7" s="4" t="n">
        <v>0.2</v>
      </c>
    </row>
    <row r="8">
      <c r="A8" s="3" t="inlineStr">
        <is>
          <t>Bônus de aceleração — 2 anos após entrada</t>
        </is>
      </c>
      <c r="B8" s="4" t="n">
        <v>0.1</v>
      </c>
    </row>
    <row r="9">
      <c r="A9" s="69" t="inlineStr">
        <is>
          <t>Crescimento orgânico anual — Online</t>
        </is>
      </c>
      <c r="B9" s="70" t="n">
        <v>0.25</v>
      </c>
    </row>
    <row r="10">
      <c r="A10" s="2" t="inlineStr">
        <is>
          <t>2. Produtividade Comercial (dimensionamento de time)</t>
        </is>
      </c>
    </row>
    <row r="11">
      <c r="A11" s="3" t="inlineStr">
        <is>
          <t>Meta de faturamento mensal por vendedor (full ramp)</t>
        </is>
      </c>
      <c r="B11" s="5" t="n">
        <v>300000</v>
      </c>
    </row>
    <row r="12">
      <c r="A12" s="3" t="inlineStr">
        <is>
          <t>Meses de ramp-up até atingir a meta</t>
        </is>
      </c>
      <c r="B12" s="6" t="n">
        <v>6</v>
      </c>
    </row>
    <row r="13">
      <c r="A13" s="3" t="inlineStr">
        <is>
          <t>Capacidade anual — ano da contratação (com ramp-up)</t>
        </is>
      </c>
      <c r="B13" s="7">
        <f>B11*12-B11*B12/2</f>
        <v/>
      </c>
    </row>
    <row r="14">
      <c r="A14" s="3" t="inlineStr">
        <is>
          <t>Capacidade anual — full run-rate (a partir do 2º ano)</t>
        </is>
      </c>
      <c r="B14" s="7">
        <f>B11*12</f>
        <v/>
      </c>
    </row>
    <row r="15">
      <c r="A15" s="3" t="inlineStr">
        <is>
          <t>Promotores/Abordadores por R$1M incremental (base — antes da sinergia regional, seção 7)</t>
        </is>
      </c>
      <c r="B15" s="6" t="n">
        <v>0.25</v>
      </c>
    </row>
    <row r="16">
      <c r="A16" s="3" t="inlineStr">
        <is>
          <t>Baristas por Comercial consolidado (cidades foco B2B)</t>
        </is>
      </c>
      <c r="B16" s="6" t="n">
        <v>0.5</v>
      </c>
    </row>
    <row r="18">
      <c r="A18" s="2" t="inlineStr">
        <is>
          <t>3. Span of Control</t>
        </is>
      </c>
    </row>
    <row r="19">
      <c r="A19" s="3" t="inlineStr">
        <is>
          <t>Mínimo de subordinados por líder</t>
        </is>
      </c>
      <c r="B19" s="6" t="n">
        <v>6</v>
      </c>
    </row>
    <row r="20">
      <c r="A20" s="3" t="inlineStr">
        <is>
          <t>Máximo de subordinados por líder</t>
        </is>
      </c>
      <c r="B20" s="6" t="n">
        <v>12</v>
      </c>
    </row>
    <row r="21">
      <c r="A21" s="3" t="inlineStr">
        <is>
          <t>Médio (referência p/ cálculo de líderes sugeridos)</t>
        </is>
      </c>
      <c r="B21" s="6" t="n">
        <v>9</v>
      </c>
    </row>
    <row r="23">
      <c r="A23" s="2" t="inlineStr">
        <is>
          <t>4. Metas da Companhia (referência)</t>
        </is>
      </c>
    </row>
    <row r="24">
      <c r="A24" s="3" t="inlineStr">
        <is>
          <t>Fechamento 2026 (real — atualizado ago/2026)</t>
        </is>
      </c>
      <c r="B24" s="5" t="n">
        <v>163000000</v>
      </c>
    </row>
    <row r="25" ht="28" customHeight="1">
      <c r="A25" s="3" t="inlineStr">
        <is>
          <t>Ambição 2030</t>
        </is>
      </c>
      <c r="B25" s="5" t="n">
        <v>400000000</v>
      </c>
      <c r="C25" s="23" t="inlineStr">
        <is>
          <t>Ambição 2030 é SOMENTE Brasil. Meta consolidada da companhia = R$ 500M (R$ 400M BR + R$ 100M EUA/exportação — ver 'Metas 2030' no Plano de Ação). Sem divergência entre os arquivos.</t>
        </is>
      </c>
    </row>
    <row r="27">
      <c r="A27" s="2" t="inlineStr">
        <is>
          <t>5. Priorização de Mercados — fonte: Mercados foco (jul/2026)</t>
        </is>
      </c>
    </row>
    <row r="28">
      <c r="A28" s="8" t="inlineStr">
        <is>
          <t>Estado</t>
        </is>
      </c>
      <c r="B28" s="8" t="inlineStr">
        <is>
          <t>Segmento</t>
        </is>
      </c>
      <c r="C28" s="8" t="inlineStr">
        <is>
          <t>Ano de Entrada na Prioridade</t>
        </is>
      </c>
      <c r="D28" s="9" t="n"/>
      <c r="E28" s="9" t="n"/>
      <c r="F28" s="10" t="n"/>
      <c r="G28" s="8" t="inlineStr">
        <is>
          <t>Cidades-chave / Observação</t>
        </is>
      </c>
    </row>
    <row r="29" ht="26" customHeight="1">
      <c r="A29" s="11" t="inlineStr">
        <is>
          <t>SP</t>
        </is>
      </c>
      <c r="B29" s="71" t="inlineStr">
        <is>
          <t>Colheita</t>
        </is>
      </c>
      <c r="C29" s="71" t="inlineStr">
        <is>
          <t>—</t>
        </is>
      </c>
      <c r="D29" s="9" t="n"/>
      <c r="E29" s="9" t="n"/>
      <c r="F29" s="10" t="n"/>
      <c r="G29" s="72" t="inlineStr">
        <is>
          <t>Interior: Campinas (ativo); Sorocaba, SJC, Ribeirão Preto, Jundiaí (2027)</t>
        </is>
      </c>
    </row>
    <row r="30" ht="26" customHeight="1">
      <c r="A30" s="11" t="inlineStr">
        <is>
          <t>RJ</t>
        </is>
      </c>
      <c r="B30" s="71" t="inlineStr">
        <is>
          <t>Colheita</t>
        </is>
      </c>
      <c r="C30" s="71" t="inlineStr">
        <is>
          <t>—</t>
        </is>
      </c>
      <c r="D30" s="9" t="n"/>
      <c r="E30" s="9" t="n"/>
      <c r="F30" s="10" t="n"/>
      <c r="G30" s="72" t="inlineStr">
        <is>
          <t>—</t>
        </is>
      </c>
    </row>
    <row r="31" ht="26" customHeight="1">
      <c r="A31" s="11" t="inlineStr">
        <is>
          <t>SC</t>
        </is>
      </c>
      <c r="B31" s="71" t="inlineStr">
        <is>
          <t>Plantio</t>
        </is>
      </c>
      <c r="C31" s="71" t="n">
        <v>2026</v>
      </c>
      <c r="D31" s="9" t="n"/>
      <c r="E31" s="9" t="n"/>
      <c r="F31" s="10" t="n"/>
      <c r="G31" s="72" t="inlineStr">
        <is>
          <t>Florianópolis, Balneário Camboriú, Itapema (ativo); Blumenau, Joinville (2028)</t>
        </is>
      </c>
    </row>
    <row r="32" ht="26" customHeight="1">
      <c r="A32" s="11" t="inlineStr">
        <is>
          <t>DF</t>
        </is>
      </c>
      <c r="B32" s="71" t="inlineStr">
        <is>
          <t>Plantio</t>
        </is>
      </c>
      <c r="C32" s="71" t="n">
        <v>2026</v>
      </c>
      <c r="D32" s="9" t="n"/>
      <c r="E32" s="9" t="n"/>
      <c r="F32" s="10" t="n"/>
      <c r="G32" s="72" t="inlineStr">
        <is>
          <t>Brasília</t>
        </is>
      </c>
    </row>
    <row r="33" ht="26" customHeight="1">
      <c r="A33" s="11" t="inlineStr">
        <is>
          <t>PR</t>
        </is>
      </c>
      <c r="B33" s="71" t="inlineStr">
        <is>
          <t>Plantio</t>
        </is>
      </c>
      <c r="C33" s="71" t="n">
        <v>2026</v>
      </c>
      <c r="D33" s="9" t="n"/>
      <c r="E33" s="9" t="n"/>
      <c r="F33" s="10" t="n"/>
      <c r="G33" s="72" t="inlineStr">
        <is>
          <t>Curitiba</t>
        </is>
      </c>
    </row>
    <row r="34" ht="26" customHeight="1">
      <c r="A34" s="11" t="inlineStr">
        <is>
          <t>RS</t>
        </is>
      </c>
      <c r="B34" s="71" t="inlineStr">
        <is>
          <t>Plantio</t>
        </is>
      </c>
      <c r="C34" s="71" t="n">
        <v>2027</v>
      </c>
      <c r="D34" s="9" t="n"/>
      <c r="E34" s="9" t="n"/>
      <c r="F34" s="10" t="n"/>
      <c r="G34" s="72" t="inlineStr">
        <is>
          <t>Porto Alegre + Serra Gaúcha (Hoteleiro)</t>
        </is>
      </c>
    </row>
    <row r="35" ht="26" customHeight="1">
      <c r="A35" s="11" t="inlineStr">
        <is>
          <t>MG</t>
        </is>
      </c>
      <c r="B35" s="71" t="inlineStr">
        <is>
          <t>Plantio</t>
        </is>
      </c>
      <c r="C35" s="71" t="n">
        <v>2027</v>
      </c>
      <c r="D35" s="9" t="n"/>
      <c r="E35" s="9" t="n"/>
      <c r="F35" s="10" t="n"/>
      <c r="G35" s="72" t="inlineStr">
        <is>
          <t>Belo Horizonte + Nova Lima</t>
        </is>
      </c>
    </row>
    <row r="36" ht="26" customHeight="1">
      <c r="A36" s="11" t="inlineStr">
        <is>
          <t>ES</t>
        </is>
      </c>
      <c r="B36" s="71" t="inlineStr">
        <is>
          <t>Plantio</t>
        </is>
      </c>
      <c r="C36" s="71" t="n">
        <v>2028</v>
      </c>
      <c r="D36" s="9" t="n"/>
      <c r="E36" s="9" t="n"/>
      <c r="F36" s="10" t="n"/>
      <c r="G36" s="72" t="inlineStr">
        <is>
          <t>Vitória</t>
        </is>
      </c>
    </row>
    <row r="37" ht="26" customHeight="1">
      <c r="A37" s="11" t="inlineStr">
        <is>
          <t>BA</t>
        </is>
      </c>
      <c r="B37" s="71" t="inlineStr">
        <is>
          <t>Plantio</t>
        </is>
      </c>
      <c r="C37" s="71" t="n">
        <v>2029</v>
      </c>
      <c r="D37" s="9" t="n"/>
      <c r="E37" s="9" t="n"/>
      <c r="F37" s="10" t="n"/>
      <c r="G37" s="72" t="inlineStr">
        <is>
          <t>Salvador + Trancoso (Hoteleiro)</t>
        </is>
      </c>
    </row>
    <row r="38" ht="26" customHeight="1">
      <c r="A38" s="11" t="inlineStr">
        <is>
          <t>CE</t>
        </is>
      </c>
      <c r="B38" s="71" t="inlineStr">
        <is>
          <t>Plantio</t>
        </is>
      </c>
      <c r="C38" s="71" t="n">
        <v>2029</v>
      </c>
      <c r="D38" s="9" t="n"/>
      <c r="E38" s="9" t="n"/>
      <c r="F38" s="10" t="n"/>
      <c r="G38" s="72" t="inlineStr">
        <is>
          <t>Fortaleza</t>
        </is>
      </c>
    </row>
    <row r="39" ht="26" customHeight="1">
      <c r="A39" s="11" t="inlineStr">
        <is>
          <t>PE</t>
        </is>
      </c>
      <c r="B39" s="71" t="inlineStr">
        <is>
          <t>Plantio</t>
        </is>
      </c>
      <c r="C39" s="71" t="n">
        <v>2029</v>
      </c>
      <c r="D39" s="9" t="n"/>
      <c r="E39" s="9" t="n"/>
      <c r="F39" s="10" t="n"/>
      <c r="G39" s="72" t="inlineStr">
        <is>
          <t>Recife + Muro Alto (Hoteleiro)</t>
        </is>
      </c>
    </row>
    <row r="40" ht="26" customHeight="1">
      <c r="A40" s="11" t="inlineStr">
        <is>
          <t>MS</t>
        </is>
      </c>
      <c r="B40" s="71" t="inlineStr">
        <is>
          <t>Plantio</t>
        </is>
      </c>
      <c r="C40" s="71" t="n">
        <v>2030</v>
      </c>
      <c r="D40" s="9" t="n"/>
      <c r="E40" s="9" t="n"/>
      <c r="F40" s="10" t="n"/>
      <c r="G40" s="72" t="inlineStr">
        <is>
          <t>Campo Grande + Pantanal (Hoteleiro)</t>
        </is>
      </c>
    </row>
    <row r="41" ht="26" customHeight="1">
      <c r="A41" s="11" t="inlineStr">
        <is>
          <t>MT</t>
        </is>
      </c>
      <c r="B41" s="71" t="inlineStr">
        <is>
          <t>Plantio</t>
        </is>
      </c>
      <c r="C41" s="71" t="n">
        <v>2030</v>
      </c>
      <c r="D41" s="9" t="n"/>
      <c r="E41" s="9" t="n"/>
      <c r="F41" s="10" t="n"/>
      <c r="G41" s="72" t="inlineStr">
        <is>
          <t>Cuiabá</t>
        </is>
      </c>
    </row>
    <row r="42" ht="26" customHeight="1">
      <c r="A42" s="11" t="inlineStr">
        <is>
          <t>AM</t>
        </is>
      </c>
      <c r="B42" s="71" t="inlineStr">
        <is>
          <t>Plantio</t>
        </is>
      </c>
      <c r="C42" s="71" t="n">
        <v>2030</v>
      </c>
      <c r="D42" s="9" t="n"/>
      <c r="E42" s="9" t="n"/>
      <c r="F42" s="10" t="n"/>
      <c r="G42" s="72" t="inlineStr">
        <is>
          <t>Manaus</t>
        </is>
      </c>
    </row>
    <row r="43" ht="26" customHeight="1">
      <c r="A43" s="11" t="inlineStr">
        <is>
          <t>AC</t>
        </is>
      </c>
      <c r="B43" s="71" t="inlineStr">
        <is>
          <t>Sem priorização definida</t>
        </is>
      </c>
      <c r="C43" s="71" t="inlineStr">
        <is>
          <t>—</t>
        </is>
      </c>
      <c r="D43" s="9" t="n"/>
      <c r="E43" s="9" t="n"/>
      <c r="F43" s="10" t="n"/>
      <c r="G43" s="72" t="inlineStr">
        <is>
          <t>—</t>
        </is>
      </c>
    </row>
    <row r="44" ht="26" customHeight="1">
      <c r="A44" s="11" t="inlineStr">
        <is>
          <t>AL</t>
        </is>
      </c>
      <c r="B44" s="71" t="inlineStr">
        <is>
          <t>Sem priorização definida</t>
        </is>
      </c>
      <c r="C44" s="71" t="inlineStr">
        <is>
          <t>—</t>
        </is>
      </c>
      <c r="D44" s="9" t="n"/>
      <c r="E44" s="9" t="n"/>
      <c r="F44" s="10" t="n"/>
      <c r="G44" s="72" t="inlineStr">
        <is>
          <t>—</t>
        </is>
      </c>
    </row>
    <row r="45" ht="26" customHeight="1">
      <c r="A45" s="11" t="inlineStr">
        <is>
          <t>AP</t>
        </is>
      </c>
      <c r="B45" s="71" t="inlineStr">
        <is>
          <t>Sem priorização definida</t>
        </is>
      </c>
      <c r="C45" s="71" t="inlineStr">
        <is>
          <t>—</t>
        </is>
      </c>
      <c r="D45" s="9" t="n"/>
      <c r="E45" s="9" t="n"/>
      <c r="F45" s="10" t="n"/>
      <c r="G45" s="72" t="inlineStr">
        <is>
          <t>—</t>
        </is>
      </c>
    </row>
    <row r="46" ht="30" customHeight="1">
      <c r="A46" s="11" t="inlineStr">
        <is>
          <t>GO</t>
        </is>
      </c>
      <c r="B46" s="71" t="inlineStr">
        <is>
          <t>Plantio</t>
        </is>
      </c>
      <c r="C46" s="71" t="n">
        <v>2027</v>
      </c>
      <c r="D46" s="9" t="n"/>
      <c r="E46" s="9" t="n"/>
      <c r="F46" s="10" t="n"/>
      <c r="G46" s="72" t="inlineStr">
        <is>
          <t>Goiânia. Adicionado — receita 2025 (R$1,01M) supera vários estados já priorizados (AM, CE, ES, MS).</t>
        </is>
      </c>
    </row>
    <row r="47" ht="30" customHeight="1">
      <c r="A47" s="11" t="inlineStr">
        <is>
          <t>MA</t>
        </is>
      </c>
      <c r="B47" s="71" t="inlineStr">
        <is>
          <t>Plantio</t>
        </is>
      </c>
      <c r="C47" s="71" t="n">
        <v>2028</v>
      </c>
      <c r="D47" s="9" t="n"/>
      <c r="E47" s="9" t="n"/>
      <c r="F47" s="10" t="n"/>
      <c r="G47" s="72" t="inlineStr">
        <is>
          <t>São Luís. Adicionado — receita 2025 (R$385k) supera ES e MS, já priorizados.</t>
        </is>
      </c>
    </row>
    <row r="48" ht="30" customHeight="1">
      <c r="A48" s="11" t="inlineStr">
        <is>
          <t>PA</t>
        </is>
      </c>
      <c r="B48" s="71" t="inlineStr">
        <is>
          <t>Plantio</t>
        </is>
      </c>
      <c r="C48" s="71" t="n">
        <v>2028</v>
      </c>
      <c r="D48" s="9" t="n"/>
      <c r="E48" s="9" t="n"/>
      <c r="F48" s="10" t="n"/>
      <c r="G48" s="72" t="inlineStr">
        <is>
          <t>Belém. Adicionado — receita 2025 (R$324k) supera ES e MS, já priorizados.</t>
        </is>
      </c>
    </row>
    <row r="49" ht="26" customHeight="1">
      <c r="A49" s="11" t="inlineStr">
        <is>
          <t>PB</t>
        </is>
      </c>
      <c r="B49" s="71" t="inlineStr">
        <is>
          <t>Sem priorização definida</t>
        </is>
      </c>
      <c r="C49" s="71" t="inlineStr">
        <is>
          <t>—</t>
        </is>
      </c>
      <c r="D49" s="9" t="n"/>
      <c r="E49" s="9" t="n"/>
      <c r="F49" s="10" t="n"/>
      <c r="G49" s="72" t="inlineStr">
        <is>
          <t>—</t>
        </is>
      </c>
    </row>
    <row r="50" ht="26" customHeight="1">
      <c r="A50" s="11" t="inlineStr">
        <is>
          <t>PI</t>
        </is>
      </c>
      <c r="B50" s="71" t="inlineStr">
        <is>
          <t>Sem priorização definida</t>
        </is>
      </c>
      <c r="C50" s="71" t="inlineStr">
        <is>
          <t>—</t>
        </is>
      </c>
      <c r="D50" s="9" t="n"/>
      <c r="E50" s="9" t="n"/>
      <c r="F50" s="10" t="n"/>
      <c r="G50" s="72" t="inlineStr">
        <is>
          <t>—</t>
        </is>
      </c>
    </row>
    <row r="51" ht="26" customHeight="1">
      <c r="A51" s="11" t="inlineStr">
        <is>
          <t>RN</t>
        </is>
      </c>
      <c r="B51" s="71" t="inlineStr">
        <is>
          <t>Sem priorização definida</t>
        </is>
      </c>
      <c r="C51" s="71" t="inlineStr">
        <is>
          <t>—</t>
        </is>
      </c>
      <c r="D51" s="9" t="n"/>
      <c r="E51" s="9" t="n"/>
      <c r="F51" s="10" t="n"/>
      <c r="G51" s="72" t="inlineStr">
        <is>
          <t>—</t>
        </is>
      </c>
    </row>
    <row r="52" ht="26" customHeight="1">
      <c r="A52" s="11" t="inlineStr">
        <is>
          <t>RO</t>
        </is>
      </c>
      <c r="B52" s="71" t="inlineStr">
        <is>
          <t>Sem priorização definida</t>
        </is>
      </c>
      <c r="C52" s="71" t="inlineStr">
        <is>
          <t>—</t>
        </is>
      </c>
      <c r="D52" s="9" t="n"/>
      <c r="E52" s="9" t="n"/>
      <c r="F52" s="10" t="n"/>
      <c r="G52" s="72" t="inlineStr">
        <is>
          <t>—</t>
        </is>
      </c>
    </row>
    <row r="53" ht="26" customHeight="1">
      <c r="A53" s="11" t="inlineStr">
        <is>
          <t>RR</t>
        </is>
      </c>
      <c r="B53" s="71" t="inlineStr">
        <is>
          <t>Sem priorização definida</t>
        </is>
      </c>
      <c r="C53" s="71" t="inlineStr">
        <is>
          <t>—</t>
        </is>
      </c>
      <c r="D53" s="9" t="n"/>
      <c r="E53" s="9" t="n"/>
      <c r="F53" s="10" t="n"/>
      <c r="G53" s="72" t="inlineStr">
        <is>
          <t>—</t>
        </is>
      </c>
    </row>
    <row r="54" ht="30" customHeight="1">
      <c r="A54" s="11" t="inlineStr">
        <is>
          <t>SE</t>
        </is>
      </c>
      <c r="B54" s="71" t="inlineStr">
        <is>
          <t>Sem priorização definida</t>
        </is>
      </c>
      <c r="C54" s="71" t="inlineStr">
        <is>
          <t>—</t>
        </is>
      </c>
      <c r="D54" s="9" t="n"/>
      <c r="E54" s="9" t="n"/>
      <c r="F54" s="10" t="n"/>
      <c r="G54" s="72" t="inlineStr">
        <is>
          <t>⚠ Receita 2025 (R$8,19M — 4º maior UF) NÃO recomendada para priorização sem validação: a aba 'B2B — Top 25 Cidades' mostra 'SE' associado a cidades São Paulo e Rio de Janeiro, sugerindo que 'SE' pode ser um código de canal/distribuidor coincidente com o UF Sergipe, não vendas geográficas no estado. Validar com Amanda/Financeiro antes de tratar como mercado prioritário.</t>
        </is>
      </c>
    </row>
    <row r="55" ht="26" customHeight="1">
      <c r="A55" s="11" t="inlineStr">
        <is>
          <t>TO</t>
        </is>
      </c>
      <c r="B55" s="71" t="inlineStr">
        <is>
          <t>Sem priorização definida</t>
        </is>
      </c>
      <c r="C55" s="71" t="inlineStr">
        <is>
          <t>—</t>
        </is>
      </c>
      <c r="D55" s="9" t="n"/>
      <c r="E55" s="9" t="n"/>
      <c r="F55" s="10" t="n"/>
      <c r="G55" s="72" t="inlineStr">
        <is>
          <t>—</t>
        </is>
      </c>
    </row>
    <row r="57">
      <c r="A57" s="13" t="inlineStr">
        <is>
          <t>Nota: SP e RJ são mercados maduros ("Colheita") — crescem no orgânico. Estados fora do roadmap de Mercados Foco seguem apenas crescimento orgânico (sem bônus).</t>
        </is>
      </c>
    </row>
    <row r="59">
      <c r="A59" s="36" t="inlineStr">
        <is>
          <t>6. Custo por Função — Organograma Comercial (Owners inbox/.../Organograma_Time_Comercial_SNomes.xlsx, aba Avaliação)</t>
        </is>
      </c>
    </row>
    <row r="60" ht="28" customHeight="1">
      <c r="A60" s="23" t="inlineStr">
        <is>
          <t>Onde há múltiplas pessoas no mesmo cargo com salários diferentes, o valor abaixo é a MÉDIA simples dos salários encontrados (mensal, base — sem encargos/13º/férias). Cargos sem dado salarial no Organograma ficam sinalizados, não estimados.</t>
        </is>
      </c>
    </row>
    <row r="61" ht="24" customHeight="1">
      <c r="A61" s="37" t="inlineStr">
        <is>
          <t>Função (simulador)</t>
        </is>
      </c>
      <c r="B61" s="37" t="inlineStr">
        <is>
          <t>Salário médio mensal (R$)</t>
        </is>
      </c>
      <c r="C61" s="37" t="inlineStr">
        <is>
          <t>Nº pessoas na amostra</t>
        </is>
      </c>
      <c r="D61" s="37" t="inlineStr">
        <is>
          <t>Cargo/Área no Organograma</t>
        </is>
      </c>
      <c r="E61" s="37" t="inlineStr">
        <is>
          <t>Observação</t>
        </is>
      </c>
    </row>
    <row r="62" ht="44" customHeight="1">
      <c r="A62" s="38" t="inlineStr">
        <is>
          <t>Representante (Varejo terceiro)</t>
        </is>
      </c>
      <c r="B62" s="39" t="inlineStr">
        <is>
          <t>Não disponível</t>
        </is>
      </c>
      <c r="C62" s="40" t="n">
        <v>7</v>
      </c>
      <c r="D62" s="40" t="inlineStr">
        <is>
          <t>Representante — área "Varejo Indireto"</t>
        </is>
      </c>
      <c r="E62" s="41" t="inlineStr">
        <is>
          <t>⚠ Sem salário — modelo comissionado/terceiro POR DESENHO, não é lacuna de dado. Representantes NÃO são funcionários Orfeu (CLT); custo real é comissão sobre vendas, a mapear com Comercial/Financeiro.</t>
        </is>
      </c>
    </row>
    <row r="63" ht="40" customHeight="1">
      <c r="A63" s="38" t="inlineStr">
        <is>
          <t>Promotores/Abordadores (via agência)</t>
        </is>
      </c>
      <c r="B63" s="39" t="inlineStr">
        <is>
          <t>Não disponível</t>
        </is>
      </c>
      <c r="C63" s="40" t="n">
        <v>2</v>
      </c>
      <c r="D63" s="40" t="inlineStr">
        <is>
          <t>Promotores + Degustadores — área "Merchandising"</t>
        </is>
      </c>
      <c r="E63" s="41" t="inlineStr">
        <is>
          <t>⚠ Sem salário — sempre contratados via agência externa POR DESENHO (todos os estados), não é lacuna de dado. Custo real é o contrato com a agência, a mapear com Trade/Financeiro.</t>
        </is>
      </c>
    </row>
    <row r="64" ht="40" customHeight="1">
      <c r="A64" s="38" t="inlineStr">
        <is>
          <t>Comercial (B2B)</t>
        </is>
      </c>
      <c r="B64" s="42" t="n">
        <v>5162.89</v>
      </c>
      <c r="C64" s="40" t="n">
        <v>7</v>
      </c>
      <c r="D64" s="40" t="inlineStr">
        <is>
          <t>Vendedor — área "B2B"</t>
        </is>
      </c>
      <c r="E64" s="43" t="inlineStr">
        <is>
          <t>Média de 7 salários reais (R$3.483–R$7.907,50).</t>
        </is>
      </c>
    </row>
    <row r="65" ht="40" customHeight="1">
      <c r="A65" s="38" t="inlineStr">
        <is>
          <t>Baristas (B2B)</t>
        </is>
      </c>
      <c r="B65" s="42" t="n">
        <v>4508.67</v>
      </c>
      <c r="C65" s="40" t="n">
        <v>6</v>
      </c>
      <c r="D65" s="40" t="inlineStr">
        <is>
          <t>Barista — área "B2B"</t>
        </is>
      </c>
      <c r="E65" s="43" t="inlineStr">
        <is>
          <t>Média de 6 salários reais (R$3.509–R$7.001).</t>
        </is>
      </c>
    </row>
    <row r="67" ht="40" customHeight="1">
      <c r="A67" s="38" t="inlineStr">
        <is>
          <t>Vendedor Varejo Direto (SP/RJ)</t>
        </is>
      </c>
      <c r="B67" s="42" t="n">
        <v>5185.75</v>
      </c>
      <c r="C67" s="40" t="n">
        <v>4</v>
      </c>
      <c r="D67" s="40" t="inlineStr">
        <is>
          <t>Vendedor — área "Varejo"</t>
        </is>
      </c>
      <c r="E67" s="43" t="inlineStr">
        <is>
          <t>Média de 4 salários reais (R$3.871,50–R$7.000), apenas SP/RJ.</t>
        </is>
      </c>
    </row>
    <row r="68" ht="40" customHeight="1">
      <c r="A68" s="38" t="inlineStr">
        <is>
          <t>Comercial — Gestão de Representantes (terceiro)</t>
        </is>
      </c>
      <c r="B68" s="42" t="n">
        <v>7500</v>
      </c>
      <c r="C68" s="40" t="n">
        <v>1</v>
      </c>
      <c r="D68" s="40" t="inlineStr">
        <is>
          <t>Vendedor — área "Varejo Indireto"</t>
        </is>
      </c>
      <c r="E68" s="43" t="inlineStr">
        <is>
          <t>1 salário real. Papel dedicado a gerenciar a rede de representantes terceiro quando ultrapassa 12 (span do Gerente Varejo).</t>
        </is>
      </c>
    </row>
    <row r="69" ht="40" customHeight="1">
      <c r="A69" s="38" t="inlineStr">
        <is>
          <t>Coordenadora Merchandising</t>
        </is>
      </c>
      <c r="B69" s="42" t="n">
        <v>4683</v>
      </c>
      <c r="C69" s="40" t="n">
        <v>1</v>
      </c>
      <c r="D69" s="40" t="inlineStr">
        <is>
          <t>Coordenadora — área "Merchandising"</t>
        </is>
      </c>
      <c r="E69" s="43" t="inlineStr">
        <is>
          <t>1 salário real (RJ). Gerencia a relação com a agência de promotores/degustadores.</t>
        </is>
      </c>
    </row>
    <row r="70" ht="40" customHeight="1">
      <c r="A70" s="38" t="inlineStr">
        <is>
          <t>Analista Merchandising</t>
        </is>
      </c>
      <c r="B70" s="42" t="n">
        <v>3878.95</v>
      </c>
      <c r="C70" s="40" t="n">
        <v>1</v>
      </c>
      <c r="D70" s="40" t="inlineStr">
        <is>
          <t>Analista — área "Merchandising"</t>
        </is>
      </c>
      <c r="E70" s="43" t="inlineStr">
        <is>
          <t>1 salário real (SP). Apoia Gerente Varejo e Coordenadora de Merchandising.</t>
        </is>
      </c>
    </row>
    <row r="71" ht="40" customHeight="1">
      <c r="A71" s="76" t="n"/>
      <c r="B71" s="76" t="n"/>
      <c r="C71" s="76" t="n"/>
      <c r="D71" s="76" t="n"/>
      <c r="E71" s="59" t="n"/>
    </row>
    <row r="73">
      <c r="A73" s="91" t="inlineStr">
        <is>
          <t>7. Sinergia Geográfica — Estrutura Mais Enxuta (fora de SP/RJ)</t>
        </is>
      </c>
    </row>
    <row r="74" ht="48" customHeight="1">
      <c r="A74" s="23" t="inlineStr">
        <is>
          <t>SP e RJ mantêm cobertura dedicada (mercados maduros, alta densidade). Nos demais 25 estados, 1 Representante/Comercial B2B cobre uma região multi-cidade em vez de 1 por estado — e os Promotores/Abordadores também ganham eficiência de cobertura. Objetivo: manter o Faturamento por QLP (headcount comercial) próximo ao patamar atual (~R$5M/pessoa/ano) ao longo de toda a projeção, em vez de diluir com o crescimento.</t>
        </is>
      </c>
    </row>
    <row r="75">
      <c r="A75" t="inlineStr">
        <is>
          <t>Fator de sinergia — capacidade de Representante/Comercial B2B fora de SP/RJ (multiplica a capacidade-base B14)</t>
        </is>
      </c>
      <c r="B75" s="105" t="n">
        <v>3.5</v>
      </c>
    </row>
    <row r="76">
      <c r="A76" t="inlineStr">
        <is>
          <t>Fator de sinergia — Promotores/Abordadores fora de SP/RJ (divide a razão-base B15)</t>
        </is>
      </c>
      <c r="B76" s="105" t="n">
        <v>2.5</v>
      </c>
    </row>
    <row r="77">
      <c r="A77" t="inlineStr">
        <is>
          <t>Fator de escala 2026 (fechamento real ÷ total 2025 — aplicado ao mix por estado/canal de 2025)</t>
        </is>
      </c>
      <c r="B77" s="106">
        <f>B24/'Projeção Receita'!$D$59</f>
        <v/>
      </c>
    </row>
  </sheetData>
  <mergeCells count="38">
    <mergeCell ref="C52:F52"/>
    <mergeCell ref="C48:F48"/>
    <mergeCell ref="C39:F39"/>
    <mergeCell ref="A74:C74"/>
    <mergeCell ref="C38:F38"/>
    <mergeCell ref="C32:F32"/>
    <mergeCell ref="C37:F37"/>
    <mergeCell ref="C28:F28"/>
    <mergeCell ref="A10:G10"/>
    <mergeCell ref="C53:F53"/>
    <mergeCell ref="C49:F49"/>
    <mergeCell ref="C34:F34"/>
    <mergeCell ref="C25:G25"/>
    <mergeCell ref="C30:F30"/>
    <mergeCell ref="C33:F33"/>
    <mergeCell ref="A60:G60"/>
    <mergeCell ref="C42:F42"/>
    <mergeCell ref="C45:F45"/>
    <mergeCell ref="A1:G1"/>
    <mergeCell ref="C35:F35"/>
    <mergeCell ref="C29:F29"/>
    <mergeCell ref="C54:F54"/>
    <mergeCell ref="C41:F41"/>
    <mergeCell ref="C47:F47"/>
    <mergeCell ref="C55:F55"/>
    <mergeCell ref="C50:F50"/>
    <mergeCell ref="C44:F44"/>
    <mergeCell ref="C40:F40"/>
    <mergeCell ref="C31:F31"/>
    <mergeCell ref="A18:G18"/>
    <mergeCell ref="A27:G27"/>
    <mergeCell ref="A3:G3"/>
    <mergeCell ref="C43:F43"/>
    <mergeCell ref="C46:F46"/>
    <mergeCell ref="C51:F51"/>
    <mergeCell ref="A57:G57"/>
    <mergeCell ref="C36:F36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 ht="26" customHeight="1">
      <c r="A1" s="1" t="inlineStr">
        <is>
          <t>BASE HISTÓRICA 2025 — FONTE: Simulador Orfeu.xlsx (Base_Unitaria)</t>
        </is>
      </c>
    </row>
    <row r="3">
      <c r="A3" s="2" t="inlineStr">
        <is>
          <t>VAREJO TOTAL (Varejo Direto + Representantes) por Estado</t>
        </is>
      </c>
    </row>
    <row r="4">
      <c r="A4" s="8" t="inlineStr">
        <is>
          <t>UF</t>
        </is>
      </c>
      <c r="B4" s="8" t="inlineStr">
        <is>
          <t>Estado</t>
        </is>
      </c>
      <c r="C4" s="8" t="inlineStr">
        <is>
          <t>Fat. Bruto 2025 (R$)</t>
        </is>
      </c>
      <c r="D4" s="8" t="inlineStr">
        <is>
          <t>Margem Contrib. 2025 (R$)</t>
        </is>
      </c>
      <c r="E4" s="8" t="inlineStr">
        <is>
          <t>MC%</t>
        </is>
      </c>
      <c r="F4" s="8" t="inlineStr">
        <is>
          <t>Volume (un)</t>
        </is>
      </c>
    </row>
    <row r="5">
      <c r="A5" s="11" t="inlineStr">
        <is>
          <t>SP</t>
        </is>
      </c>
      <c r="B5" s="11" t="inlineStr">
        <is>
          <t>São Paulo</t>
        </is>
      </c>
      <c r="C5" s="7" t="n">
        <v>21741344.72</v>
      </c>
      <c r="D5" s="7" t="n">
        <v>6947191.498820096</v>
      </c>
      <c r="E5" s="14">
        <f>IF(C5=0,0,D5/C5)</f>
        <v/>
      </c>
      <c r="F5" s="15" t="n">
        <v>464121</v>
      </c>
    </row>
    <row r="6">
      <c r="A6" s="11" t="inlineStr">
        <is>
          <t>RJ</t>
        </is>
      </c>
      <c r="B6" s="11" t="inlineStr">
        <is>
          <t>Rio de Janeiro</t>
        </is>
      </c>
      <c r="C6" s="7" t="n">
        <v>5918211.72</v>
      </c>
      <c r="D6" s="7" t="n">
        <v>1508324.020581656</v>
      </c>
      <c r="E6" s="14">
        <f>IF(C6=0,0,D6/C6)</f>
        <v/>
      </c>
      <c r="F6" s="15" t="n">
        <v>195051</v>
      </c>
    </row>
    <row r="7">
      <c r="A7" s="11" t="inlineStr">
        <is>
          <t>SC</t>
        </is>
      </c>
      <c r="B7" s="11" t="inlineStr">
        <is>
          <t>Santa Catarina</t>
        </is>
      </c>
      <c r="C7" s="7" t="n">
        <v>11585091.78</v>
      </c>
      <c r="D7" s="7" t="n">
        <v>2747793.139975036</v>
      </c>
      <c r="E7" s="14">
        <f>IF(C7=0,0,D7/C7)</f>
        <v/>
      </c>
      <c r="F7" s="15" t="n">
        <v>335304</v>
      </c>
    </row>
    <row r="8">
      <c r="A8" s="11" t="inlineStr">
        <is>
          <t>DF</t>
        </is>
      </c>
      <c r="B8" s="11" t="inlineStr">
        <is>
          <t>Distrito Federal</t>
        </is>
      </c>
      <c r="C8" s="7" t="n">
        <v>869314.1</v>
      </c>
      <c r="D8" s="7" t="n">
        <v>275016.9499859979</v>
      </c>
      <c r="E8" s="14">
        <f>IF(C8=0,0,D8/C8)</f>
        <v/>
      </c>
      <c r="F8" s="15" t="n">
        <v>31939</v>
      </c>
    </row>
    <row r="9">
      <c r="A9" s="11" t="inlineStr">
        <is>
          <t>PR</t>
        </is>
      </c>
      <c r="B9" s="11" t="inlineStr">
        <is>
          <t>Paraná</t>
        </is>
      </c>
      <c r="C9" s="7" t="n">
        <v>2261077.44</v>
      </c>
      <c r="D9" s="7" t="n">
        <v>587959.2000637955</v>
      </c>
      <c r="E9" s="14">
        <f>IF(C9=0,0,D9/C9)</f>
        <v/>
      </c>
      <c r="F9" s="15" t="n">
        <v>66083</v>
      </c>
    </row>
    <row r="10">
      <c r="A10" s="11" t="inlineStr">
        <is>
          <t>RS</t>
        </is>
      </c>
      <c r="B10" s="11" t="inlineStr">
        <is>
          <t>Rio Grande do Sul</t>
        </is>
      </c>
      <c r="C10" s="7" t="n">
        <v>2591730.33</v>
      </c>
      <c r="D10" s="7" t="n">
        <v>442693.827492446</v>
      </c>
      <c r="E10" s="14">
        <f>IF(C10=0,0,D10/C10)</f>
        <v/>
      </c>
      <c r="F10" s="15" t="n">
        <v>88288</v>
      </c>
    </row>
    <row r="11">
      <c r="A11" s="11" t="inlineStr">
        <is>
          <t>MG</t>
        </is>
      </c>
      <c r="B11" s="11" t="inlineStr">
        <is>
          <t>Minas Gerais</t>
        </is>
      </c>
      <c r="C11" s="7" t="n">
        <v>1450691.32</v>
      </c>
      <c r="D11" s="7" t="n">
        <v>430881.5814835426</v>
      </c>
      <c r="E11" s="14">
        <f>IF(C11=0,0,D11/C11)</f>
        <v/>
      </c>
      <c r="F11" s="15" t="n">
        <v>51018</v>
      </c>
    </row>
    <row r="12">
      <c r="A12" s="11" t="inlineStr">
        <is>
          <t>ES</t>
        </is>
      </c>
      <c r="B12" s="11" t="inlineStr">
        <is>
          <t>Espírito Santo</t>
        </is>
      </c>
      <c r="C12" s="7" t="n">
        <v>220220.52</v>
      </c>
      <c r="D12" s="7" t="n">
        <v>50170.08423027863</v>
      </c>
      <c r="E12" s="14">
        <f>IF(C12=0,0,D12/C12)</f>
        <v/>
      </c>
      <c r="F12" s="15" t="n">
        <v>8920</v>
      </c>
    </row>
    <row r="13">
      <c r="A13" s="11" t="inlineStr">
        <is>
          <t>BA</t>
        </is>
      </c>
      <c r="B13" s="11" t="inlineStr">
        <is>
          <t>Bahia</t>
        </is>
      </c>
      <c r="C13" s="7" t="n">
        <v>117607.08</v>
      </c>
      <c r="D13" s="7" t="n">
        <v>42422.25228145131</v>
      </c>
      <c r="E13" s="14">
        <f>IF(C13=0,0,D13/C13)</f>
        <v/>
      </c>
      <c r="F13" s="15" t="n">
        <v>3389</v>
      </c>
    </row>
    <row r="14">
      <c r="A14" s="11" t="inlineStr">
        <is>
          <t>CE</t>
        </is>
      </c>
      <c r="B14" s="11" t="inlineStr">
        <is>
          <t>Ceará</t>
        </is>
      </c>
      <c r="C14" s="7" t="n">
        <v>159336.2</v>
      </c>
      <c r="D14" s="7" t="n">
        <v>51733.24671024199</v>
      </c>
      <c r="E14" s="14">
        <f>IF(C14=0,0,D14/C14)</f>
        <v/>
      </c>
      <c r="F14" s="15" t="n">
        <v>5254</v>
      </c>
    </row>
    <row r="15">
      <c r="A15" s="11" t="inlineStr">
        <is>
          <t>PE</t>
        </is>
      </c>
      <c r="B15" s="11" t="inlineStr">
        <is>
          <t>Pernambuco</t>
        </is>
      </c>
      <c r="C15" s="7" t="n">
        <v>170354.16</v>
      </c>
      <c r="D15" s="7" t="n">
        <v>60386.82343632466</v>
      </c>
      <c r="E15" s="14">
        <f>IF(C15=0,0,D15/C15)</f>
        <v/>
      </c>
      <c r="F15" s="15" t="n">
        <v>5725</v>
      </c>
    </row>
    <row r="16">
      <c r="A16" s="11" t="inlineStr">
        <is>
          <t>MS</t>
        </is>
      </c>
      <c r="B16" s="11" t="inlineStr">
        <is>
          <t>Mato Grosso do Sul</t>
        </is>
      </c>
      <c r="C16" s="7" t="n">
        <v>132869.4</v>
      </c>
      <c r="D16" s="7" t="n">
        <v>41242.11969926734</v>
      </c>
      <c r="E16" s="14">
        <f>IF(C16=0,0,D16/C16)</f>
        <v/>
      </c>
      <c r="F16" s="15" t="n">
        <v>4744</v>
      </c>
    </row>
    <row r="17">
      <c r="A17" s="11" t="inlineStr">
        <is>
          <t>MT</t>
        </is>
      </c>
      <c r="B17" s="11" t="inlineStr">
        <is>
          <t>Mato Grosso</t>
        </is>
      </c>
      <c r="C17" s="7" t="n">
        <v>337156.84</v>
      </c>
      <c r="D17" s="7" t="n">
        <v>138495.6980061799</v>
      </c>
      <c r="E17" s="14">
        <f>IF(C17=0,0,D17/C17)</f>
        <v/>
      </c>
      <c r="F17" s="15" t="n">
        <v>10489</v>
      </c>
    </row>
    <row r="18">
      <c r="A18" s="11" t="inlineStr">
        <is>
          <t>AM</t>
        </is>
      </c>
      <c r="B18" s="11" t="inlineStr">
        <is>
          <t>Amazonas</t>
        </is>
      </c>
      <c r="C18" s="7" t="n">
        <v>58002.45</v>
      </c>
      <c r="D18" s="7" t="n">
        <v>24494.46445753406</v>
      </c>
      <c r="E18" s="14">
        <f>IF(C18=0,0,D18/C18)</f>
        <v/>
      </c>
      <c r="F18" s="15" t="n">
        <v>2480</v>
      </c>
    </row>
    <row r="19">
      <c r="A19" s="11" t="inlineStr">
        <is>
          <t>AC</t>
        </is>
      </c>
      <c r="B19" s="11" t="inlineStr">
        <is>
          <t>Acre</t>
        </is>
      </c>
      <c r="C19" s="7" t="n">
        <v>0</v>
      </c>
      <c r="D19" s="7" t="n">
        <v>0</v>
      </c>
      <c r="E19" s="14">
        <f>IF(C19=0,0,D19/C19)</f>
        <v/>
      </c>
      <c r="F19" s="15" t="n">
        <v>0</v>
      </c>
    </row>
    <row r="20">
      <c r="A20" s="11" t="inlineStr">
        <is>
          <t>AL</t>
        </is>
      </c>
      <c r="B20" s="11" t="inlineStr">
        <is>
          <t>Alagoas</t>
        </is>
      </c>
      <c r="C20" s="7" t="n">
        <v>0</v>
      </c>
      <c r="D20" s="7" t="n">
        <v>0</v>
      </c>
      <c r="E20" s="14">
        <f>IF(C20=0,0,D20/C20)</f>
        <v/>
      </c>
      <c r="F20" s="15" t="n">
        <v>0</v>
      </c>
    </row>
    <row r="21">
      <c r="A21" s="11" t="inlineStr">
        <is>
          <t>AP</t>
        </is>
      </c>
      <c r="B21" s="11" t="inlineStr">
        <is>
          <t>Amapá</t>
        </is>
      </c>
      <c r="C21" s="7" t="n">
        <v>31143</v>
      </c>
      <c r="D21" s="7" t="n">
        <v>6897.358637061587</v>
      </c>
      <c r="E21" s="14">
        <f>IF(C21=0,0,D21/C21)</f>
        <v/>
      </c>
      <c r="F21" s="15" t="n">
        <v>1289</v>
      </c>
    </row>
    <row r="22">
      <c r="A22" s="11" t="inlineStr">
        <is>
          <t>GO</t>
        </is>
      </c>
      <c r="B22" s="11" t="inlineStr">
        <is>
          <t>Goiás</t>
        </is>
      </c>
      <c r="C22" s="7" t="n">
        <v>99222.72</v>
      </c>
      <c r="D22" s="7" t="n">
        <v>44162.22293421944</v>
      </c>
      <c r="E22" s="14">
        <f>IF(C22=0,0,D22/C22)</f>
        <v/>
      </c>
      <c r="F22" s="15" t="n">
        <v>3688</v>
      </c>
    </row>
    <row r="23">
      <c r="A23" s="11" t="inlineStr">
        <is>
          <t>MA</t>
        </is>
      </c>
      <c r="B23" s="11" t="inlineStr">
        <is>
          <t>Maranhão</t>
        </is>
      </c>
      <c r="C23" s="7" t="n">
        <v>356985.12</v>
      </c>
      <c r="D23" s="7" t="n">
        <v>119224.9168574801</v>
      </c>
      <c r="E23" s="14">
        <f>IF(C23=0,0,D23/C23)</f>
        <v/>
      </c>
      <c r="F23" s="15" t="n">
        <v>13752</v>
      </c>
    </row>
    <row r="24">
      <c r="A24" s="11" t="inlineStr">
        <is>
          <t>PA</t>
        </is>
      </c>
      <c r="B24" s="11" t="inlineStr">
        <is>
          <t>Pará</t>
        </is>
      </c>
      <c r="C24" s="7" t="n">
        <v>310739.59</v>
      </c>
      <c r="D24" s="7" t="n">
        <v>108660.0943690359</v>
      </c>
      <c r="E24" s="14">
        <f>IF(C24=0,0,D24/C24)</f>
        <v/>
      </c>
      <c r="F24" s="15" t="n">
        <v>8451</v>
      </c>
    </row>
    <row r="25">
      <c r="A25" s="11" t="inlineStr">
        <is>
          <t>PB</t>
        </is>
      </c>
      <c r="B25" s="11" t="inlineStr">
        <is>
          <t>Paraíba</t>
        </is>
      </c>
      <c r="C25" s="7" t="n">
        <v>25358</v>
      </c>
      <c r="D25" s="7" t="n">
        <v>10408.87683840136</v>
      </c>
      <c r="E25" s="14">
        <f>IF(C25=0,0,D25/C25)</f>
        <v/>
      </c>
      <c r="F25" s="15" t="n">
        <v>1024</v>
      </c>
    </row>
    <row r="26">
      <c r="A26" s="11" t="inlineStr">
        <is>
          <t>PI</t>
        </is>
      </c>
      <c r="B26" s="11" t="inlineStr">
        <is>
          <t>Piauí</t>
        </is>
      </c>
      <c r="C26" s="7" t="n">
        <v>6940.84</v>
      </c>
      <c r="D26" s="7" t="n">
        <v>3249.167787977684</v>
      </c>
      <c r="E26" s="14">
        <f>IF(C26=0,0,D26/C26)</f>
        <v/>
      </c>
      <c r="F26" s="15" t="n">
        <v>260</v>
      </c>
    </row>
    <row r="27">
      <c r="A27" s="11" t="inlineStr">
        <is>
          <t>RN</t>
        </is>
      </c>
      <c r="B27" s="11" t="inlineStr">
        <is>
          <t>Rio Grande do Norte</t>
        </is>
      </c>
      <c r="C27" s="7" t="n">
        <v>5320.8</v>
      </c>
      <c r="D27" s="7" t="n">
        <v>867.2379246585556</v>
      </c>
      <c r="E27" s="14">
        <f>IF(C27=0,0,D27/C27)</f>
        <v/>
      </c>
      <c r="F27" s="15" t="n">
        <v>72</v>
      </c>
    </row>
    <row r="28">
      <c r="A28" s="11" t="inlineStr">
        <is>
          <t>RO</t>
        </is>
      </c>
      <c r="B28" s="11" t="inlineStr">
        <is>
          <t>Rondônia</t>
        </is>
      </c>
      <c r="C28" s="7" t="n">
        <v>0</v>
      </c>
      <c r="D28" s="7" t="n">
        <v>0</v>
      </c>
      <c r="E28" s="14">
        <f>IF(C28=0,0,D28/C28)</f>
        <v/>
      </c>
      <c r="F28" s="15" t="n">
        <v>0</v>
      </c>
    </row>
    <row r="29">
      <c r="A29" s="11" t="inlineStr">
        <is>
          <t>RR</t>
        </is>
      </c>
      <c r="B29" s="11" t="inlineStr">
        <is>
          <t>Roraima</t>
        </is>
      </c>
      <c r="C29" s="7" t="n">
        <v>17008.23</v>
      </c>
      <c r="D29" s="7" t="n">
        <v>7740.216052097114</v>
      </c>
      <c r="E29" s="14">
        <f>IF(C29=0,0,D29/C29)</f>
        <v/>
      </c>
      <c r="F29" s="15" t="n">
        <v>652</v>
      </c>
    </row>
    <row r="30">
      <c r="A30" s="11" t="inlineStr">
        <is>
          <t>SE</t>
        </is>
      </c>
      <c r="B30" s="11" t="inlineStr">
        <is>
          <t>Sergipe</t>
        </is>
      </c>
      <c r="C30" s="7" t="n">
        <v>5598480.38</v>
      </c>
      <c r="D30" s="7" t="n">
        <v>1802861.751211749</v>
      </c>
      <c r="E30" s="14">
        <f>IF(C30=0,0,D30/C30)</f>
        <v/>
      </c>
      <c r="F30" s="15" t="n">
        <v>144044</v>
      </c>
    </row>
    <row r="31">
      <c r="A31" s="11" t="inlineStr">
        <is>
          <t>TO</t>
        </is>
      </c>
      <c r="B31" s="11" t="inlineStr">
        <is>
          <t>Tocantins</t>
        </is>
      </c>
      <c r="C31" s="7" t="n">
        <v>33134.2</v>
      </c>
      <c r="D31" s="7" t="n">
        <v>13656.68718702938</v>
      </c>
      <c r="E31" s="14">
        <f>IF(C31=0,0,D31/C31)</f>
        <v/>
      </c>
      <c r="F31" s="15" t="n">
        <v>904</v>
      </c>
    </row>
    <row r="32">
      <c r="B32" s="16" t="inlineStr">
        <is>
          <t>TOTAL</t>
        </is>
      </c>
      <c r="C32" s="17">
        <f>SUM(C5:C31)</f>
        <v/>
      </c>
      <c r="D32" s="17">
        <f>SUM(D5:D31)</f>
        <v/>
      </c>
    </row>
    <row r="34">
      <c r="A34" s="2" t="inlineStr">
        <is>
          <t>B2B por Estado</t>
        </is>
      </c>
    </row>
    <row r="35">
      <c r="A35" s="8" t="inlineStr">
        <is>
          <t>UF</t>
        </is>
      </c>
      <c r="B35" s="8" t="inlineStr">
        <is>
          <t>Estado</t>
        </is>
      </c>
      <c r="C35" s="8" t="inlineStr">
        <is>
          <t>Fat. Bruto 2025 (R$)</t>
        </is>
      </c>
      <c r="D35" s="8" t="inlineStr">
        <is>
          <t>Margem Contrib. 2025 (R$)</t>
        </is>
      </c>
      <c r="E35" s="8" t="inlineStr">
        <is>
          <t>MC%</t>
        </is>
      </c>
      <c r="F35" s="8" t="inlineStr">
        <is>
          <t>Volume (un)</t>
        </is>
      </c>
    </row>
    <row r="36">
      <c r="A36" s="11" t="inlineStr">
        <is>
          <t>SP</t>
        </is>
      </c>
      <c r="B36" s="11" t="inlineStr">
        <is>
          <t>São Paulo</t>
        </is>
      </c>
      <c r="C36" s="7" t="n">
        <v>15057941.9</v>
      </c>
      <c r="D36" s="7" t="n">
        <v>4887273.813153761</v>
      </c>
      <c r="E36" s="14">
        <f>IF(C36=0,0,D36/C36)</f>
        <v/>
      </c>
      <c r="F36" s="15" t="n">
        <v>302681</v>
      </c>
    </row>
    <row r="37">
      <c r="A37" s="11" t="inlineStr">
        <is>
          <t>RJ</t>
        </is>
      </c>
      <c r="B37" s="11" t="inlineStr">
        <is>
          <t>Rio de Janeiro</t>
        </is>
      </c>
      <c r="C37" s="7" t="n">
        <v>4459529.13</v>
      </c>
      <c r="D37" s="7" t="n">
        <v>1346430.918181567</v>
      </c>
      <c r="E37" s="14">
        <f>IF(C37=0,0,D37/C37)</f>
        <v/>
      </c>
      <c r="F37" s="15" t="n">
        <v>90536</v>
      </c>
    </row>
    <row r="38">
      <c r="A38" s="11" t="inlineStr">
        <is>
          <t>SC</t>
        </is>
      </c>
      <c r="B38" s="11" t="inlineStr">
        <is>
          <t>Santa Catarina</t>
        </is>
      </c>
      <c r="C38" s="7" t="n">
        <v>745367.96</v>
      </c>
      <c r="D38" s="7" t="n">
        <v>192714.6969589116</v>
      </c>
      <c r="E38" s="14">
        <f>IF(C38=0,0,D38/C38)</f>
        <v/>
      </c>
      <c r="F38" s="15" t="n">
        <v>10686</v>
      </c>
    </row>
    <row r="39">
      <c r="A39" s="11" t="inlineStr">
        <is>
          <t>DF</t>
        </is>
      </c>
      <c r="B39" s="11" t="inlineStr">
        <is>
          <t>Distrito Federal</t>
        </is>
      </c>
      <c r="C39" s="7" t="n">
        <v>593541.77</v>
      </c>
      <c r="D39" s="7" t="n">
        <v>241385.5423115586</v>
      </c>
      <c r="E39" s="14">
        <f>IF(C39=0,0,D39/C39)</f>
        <v/>
      </c>
      <c r="F39" s="15" t="n">
        <v>9922</v>
      </c>
    </row>
    <row r="40">
      <c r="A40" s="11" t="inlineStr">
        <is>
          <t>PR</t>
        </is>
      </c>
      <c r="B40" s="11" t="inlineStr">
        <is>
          <t>Paraná</t>
        </is>
      </c>
      <c r="C40" s="7" t="n">
        <v>812982.7999999999</v>
      </c>
      <c r="D40" s="7" t="n">
        <v>203382.6898080111</v>
      </c>
      <c r="E40" s="14">
        <f>IF(C40=0,0,D40/C40)</f>
        <v/>
      </c>
      <c r="F40" s="15" t="n">
        <v>13768</v>
      </c>
    </row>
    <row r="41">
      <c r="A41" s="11" t="inlineStr">
        <is>
          <t>RS</t>
        </is>
      </c>
      <c r="B41" s="11" t="inlineStr">
        <is>
          <t>Rio Grande do Sul</t>
        </is>
      </c>
      <c r="C41" s="7" t="n">
        <v>315961.81</v>
      </c>
      <c r="D41" s="7" t="n">
        <v>105064.8756432547</v>
      </c>
      <c r="E41" s="14">
        <f>IF(C41=0,0,D41/C41)</f>
        <v/>
      </c>
      <c r="F41" s="15" t="n">
        <v>5283</v>
      </c>
    </row>
    <row r="42">
      <c r="A42" s="11" t="inlineStr">
        <is>
          <t>MG</t>
        </is>
      </c>
      <c r="B42" s="11" t="inlineStr">
        <is>
          <t>Minas Gerais</t>
        </is>
      </c>
      <c r="C42" s="7" t="n">
        <v>1414547.81</v>
      </c>
      <c r="D42" s="7" t="n">
        <v>368850.8570709485</v>
      </c>
      <c r="E42" s="14">
        <f>IF(C42=0,0,D42/C42)</f>
        <v/>
      </c>
      <c r="F42" s="15" t="n">
        <v>54910</v>
      </c>
    </row>
    <row r="43">
      <c r="A43" s="11" t="inlineStr">
        <is>
          <t>ES</t>
        </is>
      </c>
      <c r="B43" s="11" t="inlineStr">
        <is>
          <t>Espírito Santo</t>
        </is>
      </c>
      <c r="C43" s="7" t="n">
        <v>2700</v>
      </c>
      <c r="D43" s="7" t="n">
        <v>1071.78946245885</v>
      </c>
      <c r="E43" s="14">
        <f>IF(C43=0,0,D43/C43)</f>
        <v/>
      </c>
      <c r="F43" s="15" t="n">
        <v>36</v>
      </c>
    </row>
    <row r="44">
      <c r="A44" s="11" t="inlineStr">
        <is>
          <t>BA</t>
        </is>
      </c>
      <c r="B44" s="11" t="inlineStr">
        <is>
          <t>Bahia</t>
        </is>
      </c>
      <c r="C44" s="7" t="n">
        <v>277487.2</v>
      </c>
      <c r="D44" s="7" t="n">
        <v>122033.2387154275</v>
      </c>
      <c r="E44" s="14">
        <f>IF(C44=0,0,D44/C44)</f>
        <v/>
      </c>
      <c r="F44" s="15" t="n">
        <v>6033</v>
      </c>
    </row>
    <row r="45">
      <c r="A45" s="11" t="inlineStr">
        <is>
          <t>CE</t>
        </is>
      </c>
      <c r="B45" s="11" t="inlineStr">
        <is>
          <t>Ceará</t>
        </is>
      </c>
      <c r="C45" s="7" t="n">
        <v>6693</v>
      </c>
      <c r="D45" s="7" t="n">
        <v>2658.496903614661</v>
      </c>
      <c r="E45" s="14">
        <f>IF(C45=0,0,D45/C45)</f>
        <v/>
      </c>
      <c r="F45" s="15" t="n">
        <v>66</v>
      </c>
    </row>
    <row r="46">
      <c r="A46" s="11" t="inlineStr">
        <is>
          <t>PE</t>
        </is>
      </c>
      <c r="B46" s="11" t="inlineStr">
        <is>
          <t>Pernambuco</t>
        </is>
      </c>
      <c r="C46" s="7" t="n">
        <v>324873.15</v>
      </c>
      <c r="D46" s="7" t="n">
        <v>147392.1481253624</v>
      </c>
      <c r="E46" s="14">
        <f>IF(C46=0,0,D46/C46)</f>
        <v/>
      </c>
      <c r="F46" s="15" t="n">
        <v>5992</v>
      </c>
    </row>
    <row r="47">
      <c r="A47" s="11" t="inlineStr">
        <is>
          <t>MS</t>
        </is>
      </c>
      <c r="B47" s="11" t="inlineStr">
        <is>
          <t>Mato Grosso do Sul</t>
        </is>
      </c>
      <c r="C47" s="7" t="n">
        <v>50811.1</v>
      </c>
      <c r="D47" s="7" t="n">
        <v>22040.86678302632</v>
      </c>
      <c r="E47" s="14">
        <f>IF(C47=0,0,D47/C47)</f>
        <v/>
      </c>
      <c r="F47" s="15" t="n">
        <v>4649</v>
      </c>
    </row>
    <row r="48">
      <c r="A48" s="11" t="inlineStr">
        <is>
          <t>MT</t>
        </is>
      </c>
      <c r="B48" s="11" t="inlineStr">
        <is>
          <t>Mato Grosso</t>
        </is>
      </c>
      <c r="C48" s="7" t="n">
        <v>5382.2</v>
      </c>
      <c r="D48" s="7" t="n">
        <v>2185.153364786973</v>
      </c>
      <c r="E48" s="14">
        <f>IF(C48=0,0,D48/C48)</f>
        <v/>
      </c>
      <c r="F48" s="15" t="n">
        <v>83</v>
      </c>
    </row>
    <row r="49">
      <c r="A49" s="11" t="inlineStr">
        <is>
          <t>AM</t>
        </is>
      </c>
      <c r="B49" s="11" t="inlineStr">
        <is>
          <t>Amazonas</t>
        </is>
      </c>
      <c r="C49" s="7" t="n">
        <v>42233.88</v>
      </c>
      <c r="D49" s="7" t="n">
        <v>26085.56783170672</v>
      </c>
      <c r="E49" s="14">
        <f>IF(C49=0,0,D49/C49)</f>
        <v/>
      </c>
      <c r="F49" s="15" t="n">
        <v>364</v>
      </c>
    </row>
    <row r="50">
      <c r="A50" s="11" t="inlineStr">
        <is>
          <t>AC</t>
        </is>
      </c>
      <c r="B50" s="11" t="inlineStr">
        <is>
          <t>Acre</t>
        </is>
      </c>
      <c r="C50" s="7" t="n">
        <v>4659.52</v>
      </c>
      <c r="D50" s="7" t="n">
        <v>1680.171834917707</v>
      </c>
      <c r="E50" s="14">
        <f>IF(C50=0,0,D50/C50)</f>
        <v/>
      </c>
      <c r="F50" s="15" t="n">
        <v>96</v>
      </c>
    </row>
    <row r="51">
      <c r="A51" s="11" t="inlineStr">
        <is>
          <t>AL</t>
        </is>
      </c>
      <c r="B51" s="11" t="inlineStr">
        <is>
          <t>Alagoas</t>
        </is>
      </c>
      <c r="C51" s="7" t="n">
        <v>7353.8</v>
      </c>
      <c r="D51" s="7" t="n">
        <v>3109.894357397171</v>
      </c>
      <c r="E51" s="14">
        <f>IF(C51=0,0,D51/C51)</f>
        <v/>
      </c>
      <c r="F51" s="15" t="n">
        <v>120</v>
      </c>
    </row>
    <row r="52">
      <c r="A52" s="11" t="inlineStr">
        <is>
          <t>AP</t>
        </is>
      </c>
      <c r="B52" s="11" t="inlineStr">
        <is>
          <t>Amapá</t>
        </is>
      </c>
      <c r="C52" s="7" t="n">
        <v>10558.24</v>
      </c>
      <c r="D52" s="7" t="n">
        <v>2774.053035220482</v>
      </c>
      <c r="E52" s="14">
        <f>IF(C52=0,0,D52/C52)</f>
        <v/>
      </c>
      <c r="F52" s="15" t="n">
        <v>246</v>
      </c>
    </row>
    <row r="53">
      <c r="A53" s="11" t="inlineStr">
        <is>
          <t>GO</t>
        </is>
      </c>
      <c r="B53" s="11" t="inlineStr">
        <is>
          <t>Goiás</t>
        </is>
      </c>
      <c r="C53" s="7" t="n">
        <v>913548.87</v>
      </c>
      <c r="D53" s="7" t="n">
        <v>332673.2527030329</v>
      </c>
      <c r="E53" s="14">
        <f>IF(C53=0,0,D53/C53)</f>
        <v/>
      </c>
      <c r="F53" s="15" t="n">
        <v>11483</v>
      </c>
    </row>
    <row r="54">
      <c r="A54" s="11" t="inlineStr">
        <is>
          <t>MA</t>
        </is>
      </c>
      <c r="B54" s="11" t="inlineStr">
        <is>
          <t>Maranhão</t>
        </is>
      </c>
      <c r="C54" s="7" t="n">
        <v>27616.6</v>
      </c>
      <c r="D54" s="7" t="n">
        <v>10307.24876933704</v>
      </c>
      <c r="E54" s="14">
        <f>IF(C54=0,0,D54/C54)</f>
        <v/>
      </c>
      <c r="F54" s="15" t="n">
        <v>370</v>
      </c>
    </row>
    <row r="55">
      <c r="A55" s="11" t="inlineStr">
        <is>
          <t>PA</t>
        </is>
      </c>
      <c r="B55" s="11" t="inlineStr">
        <is>
          <t>Pará</t>
        </is>
      </c>
      <c r="C55" s="7" t="n">
        <v>12952.85</v>
      </c>
      <c r="D55" s="7" t="n">
        <v>4765.168527472368</v>
      </c>
      <c r="E55" s="14">
        <f>IF(C55=0,0,D55/C55)</f>
        <v/>
      </c>
      <c r="F55" s="15" t="n">
        <v>295</v>
      </c>
    </row>
    <row r="56">
      <c r="A56" s="11" t="inlineStr">
        <is>
          <t>PB</t>
        </is>
      </c>
      <c r="B56" s="11" t="inlineStr">
        <is>
          <t>Paraíba</t>
        </is>
      </c>
      <c r="C56" s="7" t="n">
        <v>1336.8</v>
      </c>
      <c r="D56" s="7" t="n">
        <v>498.0607479460693</v>
      </c>
      <c r="E56" s="14">
        <f>IF(C56=0,0,D56/C56)</f>
        <v/>
      </c>
      <c r="F56" s="15" t="n">
        <v>12</v>
      </c>
    </row>
    <row r="57">
      <c r="A57" s="11" t="inlineStr">
        <is>
          <t>PI</t>
        </is>
      </c>
      <c r="B57" s="11" t="inlineStr">
        <is>
          <t>Piauí</t>
        </is>
      </c>
      <c r="C57" s="7" t="n">
        <v>18862.22</v>
      </c>
      <c r="D57" s="7" t="n">
        <v>6815.512493361235</v>
      </c>
      <c r="E57" s="14">
        <f>IF(C57=0,0,D57/C57)</f>
        <v/>
      </c>
      <c r="F57" s="15" t="n">
        <v>461</v>
      </c>
    </row>
    <row r="58">
      <c r="A58" s="11" t="inlineStr">
        <is>
          <t>RN</t>
        </is>
      </c>
      <c r="B58" s="11" t="inlineStr">
        <is>
          <t>Rio Grande do Norte</t>
        </is>
      </c>
      <c r="C58" s="7" t="n">
        <v>25009.25</v>
      </c>
      <c r="D58" s="7" t="n">
        <v>11238.7868197222</v>
      </c>
      <c r="E58" s="14">
        <f>IF(C58=0,0,D58/C58)</f>
        <v/>
      </c>
      <c r="F58" s="15" t="n">
        <v>430</v>
      </c>
    </row>
    <row r="59">
      <c r="A59" s="11" t="inlineStr">
        <is>
          <t>RO</t>
        </is>
      </c>
      <c r="B59" s="11" t="inlineStr">
        <is>
          <t>Rondônia</t>
        </is>
      </c>
      <c r="C59" s="7" t="n">
        <v>47198.32</v>
      </c>
      <c r="D59" s="7" t="n">
        <v>18968.91977188257</v>
      </c>
      <c r="E59" s="14">
        <f>IF(C59=0,0,D59/C59)</f>
        <v/>
      </c>
      <c r="F59" s="15" t="n">
        <v>582</v>
      </c>
    </row>
    <row r="60">
      <c r="A60" s="11" t="inlineStr">
        <is>
          <t>RR</t>
        </is>
      </c>
      <c r="B60" s="11" t="inlineStr">
        <is>
          <t>Roraima</t>
        </is>
      </c>
      <c r="C60" s="7" t="n">
        <v>12227.15</v>
      </c>
      <c r="D60" s="7" t="n">
        <v>5980.623158810755</v>
      </c>
      <c r="E60" s="14">
        <f>IF(C60=0,0,D60/C60)</f>
        <v/>
      </c>
      <c r="F60" s="15" t="n">
        <v>339</v>
      </c>
    </row>
    <row r="61">
      <c r="A61" s="11" t="inlineStr">
        <is>
          <t>SE</t>
        </is>
      </c>
      <c r="B61" s="11" t="inlineStr">
        <is>
          <t>Sergipe</t>
        </is>
      </c>
      <c r="C61" s="7" t="n">
        <v>2595444.83</v>
      </c>
      <c r="D61" s="7" t="n">
        <v>961117.5252046515</v>
      </c>
      <c r="E61" s="14">
        <f>IF(C61=0,0,D61/C61)</f>
        <v/>
      </c>
      <c r="F61" s="15" t="n">
        <v>38381</v>
      </c>
    </row>
    <row r="62">
      <c r="A62" s="11" t="inlineStr">
        <is>
          <t>TO</t>
        </is>
      </c>
      <c r="B62" s="11" t="inlineStr">
        <is>
          <t>Tocantins</t>
        </is>
      </c>
      <c r="C62" s="7" t="n">
        <v>10609.14</v>
      </c>
      <c r="D62" s="7" t="n">
        <v>4843.087266508359</v>
      </c>
      <c r="E62" s="14">
        <f>IF(C62=0,0,D62/C62)</f>
        <v/>
      </c>
      <c r="F62" s="15" t="n">
        <v>267</v>
      </c>
    </row>
    <row r="63">
      <c r="B63" s="16" t="inlineStr">
        <is>
          <t>TOTAL</t>
        </is>
      </c>
      <c r="C63" s="17">
        <f>SUM(C36:C62)</f>
        <v/>
      </c>
      <c r="D63" s="17">
        <f>SUM(D36:D62)</f>
        <v/>
      </c>
    </row>
    <row r="65">
      <c r="A65" s="2" t="inlineStr">
        <is>
          <t>B2B — Top 25 Cidades (2025, referência para cidades-foco)</t>
        </is>
      </c>
    </row>
    <row r="66">
      <c r="A66" s="8" t="inlineStr">
        <is>
          <t>UF</t>
        </is>
      </c>
      <c r="B66" s="8" t="inlineStr">
        <is>
          <t>Cidade</t>
        </is>
      </c>
      <c r="C66" s="8" t="inlineStr">
        <is>
          <t>Fat. Bruto 2025 (R$)</t>
        </is>
      </c>
    </row>
    <row r="67">
      <c r="A67" s="11" t="inlineStr">
        <is>
          <t>SP</t>
        </is>
      </c>
      <c r="B67" s="11" t="inlineStr">
        <is>
          <t>Sao Paulo</t>
        </is>
      </c>
      <c r="C67" s="7" t="n">
        <v>7342394.95</v>
      </c>
    </row>
    <row r="68">
      <c r="A68" s="11" t="inlineStr">
        <is>
          <t>RJ</t>
        </is>
      </c>
      <c r="B68" s="11" t="inlineStr">
        <is>
          <t>Rio De Janeiro</t>
        </is>
      </c>
      <c r="C68" s="7" t="n">
        <v>3201929.99</v>
      </c>
    </row>
    <row r="69">
      <c r="A69" s="11" t="inlineStr">
        <is>
          <t>SP</t>
        </is>
      </c>
      <c r="B69" s="11" t="inlineStr">
        <is>
          <t>Jundiai</t>
        </is>
      </c>
      <c r="C69" s="7" t="n">
        <v>955415.8199999999</v>
      </c>
    </row>
    <row r="70">
      <c r="A70" s="11" t="inlineStr">
        <is>
          <t>SE</t>
        </is>
      </c>
      <c r="B70" s="11" t="inlineStr">
        <is>
          <t>Sao Paulo</t>
        </is>
      </c>
      <c r="C70" s="7" t="n">
        <v>706103.76</v>
      </c>
    </row>
    <row r="71">
      <c r="A71" s="11" t="inlineStr">
        <is>
          <t>MG</t>
        </is>
      </c>
      <c r="B71" s="11" t="inlineStr">
        <is>
          <t>Pocos De Caldas</t>
        </is>
      </c>
      <c r="C71" s="7" t="n">
        <v>635771.1899999999</v>
      </c>
    </row>
    <row r="72">
      <c r="A72" s="11" t="inlineStr">
        <is>
          <t>DF</t>
        </is>
      </c>
      <c r="B72" s="11" t="inlineStr">
        <is>
          <t>Brasilia</t>
        </is>
      </c>
      <c r="C72" s="7" t="n">
        <v>593049.27</v>
      </c>
    </row>
    <row r="73">
      <c r="A73" s="11" t="inlineStr">
        <is>
          <t>PR</t>
        </is>
      </c>
      <c r="B73" s="11" t="inlineStr">
        <is>
          <t>Curitiba</t>
        </is>
      </c>
      <c r="C73" s="7" t="n">
        <v>558271.75</v>
      </c>
    </row>
    <row r="74">
      <c r="A74" s="11" t="inlineStr">
        <is>
          <t>GO</t>
        </is>
      </c>
      <c r="B74" s="11" t="inlineStr">
        <is>
          <t>Abadiania</t>
        </is>
      </c>
      <c r="C74" s="7" t="n">
        <v>537624.6</v>
      </c>
    </row>
    <row r="75">
      <c r="A75" s="11" t="inlineStr">
        <is>
          <t>SP</t>
        </is>
      </c>
      <c r="B75" s="11" t="inlineStr">
        <is>
          <t>Catanduva</t>
        </is>
      </c>
      <c r="C75" s="7" t="n">
        <v>521371.76</v>
      </c>
    </row>
    <row r="76">
      <c r="A76" s="11" t="inlineStr">
        <is>
          <t>SP</t>
        </is>
      </c>
      <c r="B76" s="11" t="inlineStr">
        <is>
          <t>Barueri</t>
        </is>
      </c>
      <c r="C76" s="7" t="n">
        <v>512216.01</v>
      </c>
    </row>
    <row r="77">
      <c r="A77" s="11" t="inlineStr">
        <is>
          <t>SP</t>
        </is>
      </c>
      <c r="B77" s="11" t="inlineStr">
        <is>
          <t>Santa Barbara D Oeste</t>
        </is>
      </c>
      <c r="C77" s="7" t="n">
        <v>389755.4399999999</v>
      </c>
    </row>
    <row r="78">
      <c r="A78" s="11" t="inlineStr">
        <is>
          <t>SE</t>
        </is>
      </c>
      <c r="B78" s="11" t="inlineStr">
        <is>
          <t>Rio De Janeiro</t>
        </is>
      </c>
      <c r="C78" s="7" t="n">
        <v>356756.42</v>
      </c>
    </row>
    <row r="79">
      <c r="A79" s="11" t="inlineStr">
        <is>
          <t>SP</t>
        </is>
      </c>
      <c r="B79" s="11" t="inlineStr">
        <is>
          <t>Sao Carlos</t>
        </is>
      </c>
      <c r="C79" s="7" t="n">
        <v>328493.52</v>
      </c>
    </row>
    <row r="80">
      <c r="A80" s="11" t="inlineStr">
        <is>
          <t>GO</t>
        </is>
      </c>
      <c r="B80" s="11" t="inlineStr">
        <is>
          <t>Goiania</t>
        </is>
      </c>
      <c r="C80" s="7" t="n">
        <v>327013.29</v>
      </c>
    </row>
    <row r="81">
      <c r="A81" s="11" t="inlineStr">
        <is>
          <t>SP</t>
        </is>
      </c>
      <c r="B81" s="11" t="inlineStr">
        <is>
          <t>Guararema</t>
        </is>
      </c>
      <c r="C81" s="7" t="n">
        <v>320997.92</v>
      </c>
    </row>
    <row r="82">
      <c r="A82" s="11" t="inlineStr">
        <is>
          <t>SP</t>
        </is>
      </c>
      <c r="B82" s="11" t="inlineStr">
        <is>
          <t>Campinas</t>
        </is>
      </c>
      <c r="C82" s="7" t="n">
        <v>303816.18</v>
      </c>
    </row>
    <row r="83">
      <c r="A83" s="11" t="inlineStr">
        <is>
          <t>SP</t>
        </is>
      </c>
      <c r="B83" s="11" t="inlineStr">
        <is>
          <t>Santa Cruz Do Rio Pardo</t>
        </is>
      </c>
      <c r="C83" s="7" t="n">
        <v>299135.64</v>
      </c>
    </row>
    <row r="84">
      <c r="A84" s="11" t="inlineStr">
        <is>
          <t>SP</t>
        </is>
      </c>
      <c r="B84" s="11" t="inlineStr">
        <is>
          <t>Limeira</t>
        </is>
      </c>
      <c r="C84" s="7" t="n">
        <v>281583</v>
      </c>
    </row>
    <row r="85">
      <c r="A85" s="11" t="inlineStr">
        <is>
          <t>SP</t>
        </is>
      </c>
      <c r="B85" s="11" t="inlineStr">
        <is>
          <t>Queluz</t>
        </is>
      </c>
      <c r="C85" s="7" t="n">
        <v>269053.01</v>
      </c>
    </row>
    <row r="86">
      <c r="A86" s="11" t="inlineStr">
        <is>
          <t>PE</t>
        </is>
      </c>
      <c r="B86" s="11" t="inlineStr">
        <is>
          <t>Ipojuca</t>
        </is>
      </c>
      <c r="C86" s="7" t="n">
        <v>257954.23</v>
      </c>
    </row>
    <row r="87">
      <c r="A87" s="11" t="inlineStr">
        <is>
          <t>SP</t>
        </is>
      </c>
      <c r="B87" s="11" t="inlineStr">
        <is>
          <t>Guaratingueta</t>
        </is>
      </c>
      <c r="C87" s="7" t="n">
        <v>233422.16</v>
      </c>
    </row>
    <row r="88">
      <c r="A88" s="11" t="inlineStr">
        <is>
          <t>RJ</t>
        </is>
      </c>
      <c r="B88" s="11" t="inlineStr">
        <is>
          <t>Resende</t>
        </is>
      </c>
      <c r="C88" s="7" t="n">
        <v>231562.22</v>
      </c>
    </row>
    <row r="89">
      <c r="A89" s="11" t="inlineStr">
        <is>
          <t>BA</t>
        </is>
      </c>
      <c r="B89" s="11" t="inlineStr">
        <is>
          <t>Salvador</t>
        </is>
      </c>
      <c r="C89" s="7" t="n">
        <v>224676.4</v>
      </c>
    </row>
    <row r="90">
      <c r="A90" s="11" t="inlineStr">
        <is>
          <t>SC</t>
        </is>
      </c>
      <c r="B90" s="11" t="inlineStr">
        <is>
          <t>Balneario Picarras</t>
        </is>
      </c>
      <c r="C90" s="7" t="n">
        <v>203891.5</v>
      </c>
    </row>
    <row r="91">
      <c r="A91" s="11" t="inlineStr">
        <is>
          <t>RJ</t>
        </is>
      </c>
      <c r="B91" s="11" t="inlineStr">
        <is>
          <t>Niteroi</t>
        </is>
      </c>
      <c r="C91" s="7" t="n">
        <v>200941.67</v>
      </c>
    </row>
  </sheetData>
  <mergeCells count="4">
    <mergeCell ref="A34:H34"/>
    <mergeCell ref="A65:H65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zoomScale="10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PROJEÇÃO DE RECEITA — ESTADO x CANAL (2025 base → 2030)</t>
        </is>
      </c>
    </row>
    <row r="3">
      <c r="A3" s="8" t="inlineStr">
        <is>
          <t>UF</t>
        </is>
      </c>
      <c r="B3" s="8" t="inlineStr">
        <is>
          <t>Estado</t>
        </is>
      </c>
      <c r="C3" s="8" t="inlineStr">
        <is>
          <t>Canal</t>
        </is>
      </c>
      <c r="D3" s="8" t="inlineStr">
        <is>
          <t>2025 (base)</t>
        </is>
      </c>
      <c r="E3" s="8" t="inlineStr">
        <is>
          <t>2026</t>
        </is>
      </c>
      <c r="F3" s="8" t="inlineStr">
        <is>
          <t>2027</t>
        </is>
      </c>
      <c r="G3" s="8" t="inlineStr">
        <is>
          <t>2028</t>
        </is>
      </c>
      <c r="H3" s="8" t="inlineStr">
        <is>
          <t>2029</t>
        </is>
      </c>
      <c r="I3" s="8" t="inlineStr">
        <is>
          <t>2030</t>
        </is>
      </c>
    </row>
    <row r="4">
      <c r="A4" s="11" t="inlineStr">
        <is>
          <t>SP</t>
        </is>
      </c>
      <c r="B4" s="11" t="inlineStr">
        <is>
          <t>São Paulo</t>
        </is>
      </c>
      <c r="C4" s="11" t="inlineStr">
        <is>
          <t>Varejo</t>
        </is>
      </c>
      <c r="D4" s="7">
        <f>'Base Histórica 2025'!C5</f>
        <v/>
      </c>
      <c r="E4" s="7">
        <f>D4*Premissas!$B$77</f>
        <v/>
      </c>
      <c r="F4" s="7">
        <f>E4*(1+Premissas!$B$4+IF(ISNUMBER(Premissas!$C$29),IF(2027=Premissas!$C$29,Premissas!$B$6,IF(2027=Premissas!$C$29+1,Premissas!$B$7,IF(2027=Premissas!$C$29+2,Premissas!$B$8,0))),0))</f>
        <v/>
      </c>
      <c r="G4" s="7">
        <f>F4*(1+Premissas!$B$4+IF(ISNUMBER(Premissas!$C$29),IF(2028=Premissas!$C$29,Premissas!$B$6,IF(2028=Premissas!$C$29+1,Premissas!$B$7,IF(2028=Premissas!$C$29+2,Premissas!$B$8,0))),0))</f>
        <v/>
      </c>
      <c r="H4" s="7">
        <f>G4*(1+Premissas!$B$4+IF(ISNUMBER(Premissas!$C$29),IF(2029=Premissas!$C$29,Premissas!$B$6,IF(2029=Premissas!$C$29+1,Premissas!$B$7,IF(2029=Premissas!$C$29+2,Premissas!$B$8,0))),0))</f>
        <v/>
      </c>
      <c r="I4" s="7">
        <f>H4*(1+Premissas!$B$4+IF(ISNUMBER(Premissas!$C$29),IF(2030=Premissas!$C$29,Premissas!$B$6,IF(2030=Premissas!$C$29+1,Premissas!$B$7,IF(2030=Premissas!$C$29+2,Premissas!$B$8,0))),0))</f>
        <v/>
      </c>
    </row>
    <row r="5">
      <c r="A5" s="11" t="inlineStr">
        <is>
          <t>SP</t>
        </is>
      </c>
      <c r="B5" s="11" t="inlineStr">
        <is>
          <t>São Paulo</t>
        </is>
      </c>
      <c r="C5" s="11" t="inlineStr">
        <is>
          <t>B2B</t>
        </is>
      </c>
      <c r="D5" s="7">
        <f>'Base Histórica 2025'!C36</f>
        <v/>
      </c>
      <c r="E5" s="7">
        <f>D5*Premissas!$B$77</f>
        <v/>
      </c>
      <c r="F5" s="7">
        <f>E5*(1+Premissas!$B$5+IF(ISNUMBER(Premissas!$C$29),IF(2027=Premissas!$C$29,Premissas!$B$6,IF(2027=Premissas!$C$29+1,Premissas!$B$7,IF(2027=Premissas!$C$29+2,Premissas!$B$8,0))),0))</f>
        <v/>
      </c>
      <c r="G5" s="7">
        <f>F5*(1+Premissas!$B$5+IF(ISNUMBER(Premissas!$C$29),IF(2028=Premissas!$C$29,Premissas!$B$6,IF(2028=Premissas!$C$29+1,Premissas!$B$7,IF(2028=Premissas!$C$29+2,Premissas!$B$8,0))),0))</f>
        <v/>
      </c>
      <c r="H5" s="7">
        <f>G5*(1+Premissas!$B$5+IF(ISNUMBER(Premissas!$C$29),IF(2029=Premissas!$C$29,Premissas!$B$6,IF(2029=Premissas!$C$29+1,Premissas!$B$7,IF(2029=Premissas!$C$29+2,Premissas!$B$8,0))),0))</f>
        <v/>
      </c>
      <c r="I5" s="7">
        <f>H5*(1+Premissas!$B$5+IF(ISNUMBER(Premissas!$C$29),IF(2030=Premissas!$C$29,Premissas!$B$6,IF(2030=Premissas!$C$29+1,Premissas!$B$7,IF(2030=Premissas!$C$29+2,Premissas!$B$8,0))),0))</f>
        <v/>
      </c>
    </row>
    <row r="6">
      <c r="A6" s="11" t="inlineStr">
        <is>
          <t>RJ</t>
        </is>
      </c>
      <c r="B6" s="11" t="inlineStr">
        <is>
          <t>Rio de Janeiro</t>
        </is>
      </c>
      <c r="C6" s="11" t="inlineStr">
        <is>
          <t>Varejo</t>
        </is>
      </c>
      <c r="D6" s="7">
        <f>'Base Histórica 2025'!C6</f>
        <v/>
      </c>
      <c r="E6" s="7">
        <f>D6*Premissas!$B$77</f>
        <v/>
      </c>
      <c r="F6" s="7">
        <f>E6*(1+Premissas!$B$4+IF(ISNUMBER(Premissas!$C$30),IF(2027=Premissas!$C$30,Premissas!$B$6,IF(2027=Premissas!$C$30+1,Premissas!$B$7,IF(2027=Premissas!$C$30+2,Premissas!$B$8,0))),0))</f>
        <v/>
      </c>
      <c r="G6" s="7">
        <f>F6*(1+Premissas!$B$4+IF(ISNUMBER(Premissas!$C$30),IF(2028=Premissas!$C$30,Premissas!$B$6,IF(2028=Premissas!$C$30+1,Premissas!$B$7,IF(2028=Premissas!$C$30+2,Premissas!$B$8,0))),0))</f>
        <v/>
      </c>
      <c r="H6" s="7">
        <f>G6*(1+Premissas!$B$4+IF(ISNUMBER(Premissas!$C$30),IF(2029=Premissas!$C$30,Premissas!$B$6,IF(2029=Premissas!$C$30+1,Premissas!$B$7,IF(2029=Premissas!$C$30+2,Premissas!$B$8,0))),0))</f>
        <v/>
      </c>
      <c r="I6" s="7">
        <f>H6*(1+Premissas!$B$4+IF(ISNUMBER(Premissas!$C$30),IF(2030=Premissas!$C$30,Premissas!$B$6,IF(2030=Premissas!$C$30+1,Premissas!$B$7,IF(2030=Premissas!$C$30+2,Premissas!$B$8,0))),0))</f>
        <v/>
      </c>
    </row>
    <row r="7">
      <c r="A7" s="11" t="inlineStr">
        <is>
          <t>RJ</t>
        </is>
      </c>
      <c r="B7" s="11" t="inlineStr">
        <is>
          <t>Rio de Janeiro</t>
        </is>
      </c>
      <c r="C7" s="11" t="inlineStr">
        <is>
          <t>B2B</t>
        </is>
      </c>
      <c r="D7" s="7">
        <f>'Base Histórica 2025'!C37</f>
        <v/>
      </c>
      <c r="E7" s="7">
        <f>D7*Premissas!$B$77</f>
        <v/>
      </c>
      <c r="F7" s="7">
        <f>E7*(1+Premissas!$B$5+IF(ISNUMBER(Premissas!$C$30),IF(2027=Premissas!$C$30,Premissas!$B$6,IF(2027=Premissas!$C$30+1,Premissas!$B$7,IF(2027=Premissas!$C$30+2,Premissas!$B$8,0))),0))</f>
        <v/>
      </c>
      <c r="G7" s="7">
        <f>F7*(1+Premissas!$B$5+IF(ISNUMBER(Premissas!$C$30),IF(2028=Premissas!$C$30,Premissas!$B$6,IF(2028=Premissas!$C$30+1,Premissas!$B$7,IF(2028=Premissas!$C$30+2,Premissas!$B$8,0))),0))</f>
        <v/>
      </c>
      <c r="H7" s="7">
        <f>G7*(1+Premissas!$B$5+IF(ISNUMBER(Premissas!$C$30),IF(2029=Premissas!$C$30,Premissas!$B$6,IF(2029=Premissas!$C$30+1,Premissas!$B$7,IF(2029=Premissas!$C$30+2,Premissas!$B$8,0))),0))</f>
        <v/>
      </c>
      <c r="I7" s="7">
        <f>H7*(1+Premissas!$B$5+IF(ISNUMBER(Premissas!$C$30),IF(2030=Premissas!$C$30,Premissas!$B$6,IF(2030=Premissas!$C$30+1,Premissas!$B$7,IF(2030=Premissas!$C$30+2,Premissas!$B$8,0))),0))</f>
        <v/>
      </c>
    </row>
    <row r="8">
      <c r="A8" s="11" t="inlineStr">
        <is>
          <t>SC</t>
        </is>
      </c>
      <c r="B8" s="11" t="inlineStr">
        <is>
          <t>Santa Catarina</t>
        </is>
      </c>
      <c r="C8" s="11" t="inlineStr">
        <is>
          <t>Varejo</t>
        </is>
      </c>
      <c r="D8" s="7">
        <f>'Base Histórica 2025'!C7</f>
        <v/>
      </c>
      <c r="E8" s="7">
        <f>D8*Premissas!$B$77</f>
        <v/>
      </c>
      <c r="F8" s="7">
        <f>E8*(1+Premissas!$B$4+IF(ISNUMBER(Premissas!$C$31),IF(2027=Premissas!$C$31,Premissas!$B$6,IF(2027=Premissas!$C$31+1,Premissas!$B$7,IF(2027=Premissas!$C$31+2,Premissas!$B$8,0))),0))</f>
        <v/>
      </c>
      <c r="G8" s="7">
        <f>F8*(1+Premissas!$B$4+IF(ISNUMBER(Premissas!$C$31),IF(2028=Premissas!$C$31,Premissas!$B$6,IF(2028=Premissas!$C$31+1,Premissas!$B$7,IF(2028=Premissas!$C$31+2,Premissas!$B$8,0))),0))</f>
        <v/>
      </c>
      <c r="H8" s="7">
        <f>G8*(1+Premissas!$B$4+IF(ISNUMBER(Premissas!$C$31),IF(2029=Premissas!$C$31,Premissas!$B$6,IF(2029=Premissas!$C$31+1,Premissas!$B$7,IF(2029=Premissas!$C$31+2,Premissas!$B$8,0))),0))</f>
        <v/>
      </c>
      <c r="I8" s="7">
        <f>H8*(1+Premissas!$B$4+IF(ISNUMBER(Premissas!$C$31),IF(2030=Premissas!$C$31,Premissas!$B$6,IF(2030=Premissas!$C$31+1,Premissas!$B$7,IF(2030=Premissas!$C$31+2,Premissas!$B$8,0))),0))</f>
        <v/>
      </c>
    </row>
    <row r="9">
      <c r="A9" s="11" t="inlineStr">
        <is>
          <t>SC</t>
        </is>
      </c>
      <c r="B9" s="11" t="inlineStr">
        <is>
          <t>Santa Catarina</t>
        </is>
      </c>
      <c r="C9" s="11" t="inlineStr">
        <is>
          <t>B2B</t>
        </is>
      </c>
      <c r="D9" s="7">
        <f>'Base Histórica 2025'!C38</f>
        <v/>
      </c>
      <c r="E9" s="7">
        <f>D9*Premissas!$B$77</f>
        <v/>
      </c>
      <c r="F9" s="7">
        <f>E9*(1+Premissas!$B$5+IF(ISNUMBER(Premissas!$C$31),IF(2027=Premissas!$C$31,Premissas!$B$6,IF(2027=Premissas!$C$31+1,Premissas!$B$7,IF(2027=Premissas!$C$31+2,Premissas!$B$8,0))),0))</f>
        <v/>
      </c>
      <c r="G9" s="7">
        <f>F9*(1+Premissas!$B$5+IF(ISNUMBER(Premissas!$C$31),IF(2028=Premissas!$C$31,Premissas!$B$6,IF(2028=Premissas!$C$31+1,Premissas!$B$7,IF(2028=Premissas!$C$31+2,Premissas!$B$8,0))),0))</f>
        <v/>
      </c>
      <c r="H9" s="7">
        <f>G9*(1+Premissas!$B$5+IF(ISNUMBER(Premissas!$C$31),IF(2029=Premissas!$C$31,Premissas!$B$6,IF(2029=Premissas!$C$31+1,Premissas!$B$7,IF(2029=Premissas!$C$31+2,Premissas!$B$8,0))),0))</f>
        <v/>
      </c>
      <c r="I9" s="7">
        <f>H9*(1+Premissas!$B$5+IF(ISNUMBER(Premissas!$C$31),IF(2030=Premissas!$C$31,Premissas!$B$6,IF(2030=Premissas!$C$31+1,Premissas!$B$7,IF(2030=Premissas!$C$31+2,Premissas!$B$8,0))),0))</f>
        <v/>
      </c>
    </row>
    <row r="10">
      <c r="A10" s="11" t="inlineStr">
        <is>
          <t>DF</t>
        </is>
      </c>
      <c r="B10" s="11" t="inlineStr">
        <is>
          <t>Distrito Federal</t>
        </is>
      </c>
      <c r="C10" s="11" t="inlineStr">
        <is>
          <t>Varejo</t>
        </is>
      </c>
      <c r="D10" s="7">
        <f>'Base Histórica 2025'!C8</f>
        <v/>
      </c>
      <c r="E10" s="7">
        <f>D10*Premissas!$B$77</f>
        <v/>
      </c>
      <c r="F10" s="7">
        <f>E10*(1+Premissas!$B$4+IF(ISNUMBER(Premissas!$C$32),IF(2027=Premissas!$C$32,Premissas!$B$6,IF(2027=Premissas!$C$32+1,Premissas!$B$7,IF(2027=Premissas!$C$32+2,Premissas!$B$8,0))),0))</f>
        <v/>
      </c>
      <c r="G10" s="7">
        <f>F10*(1+Premissas!$B$4+IF(ISNUMBER(Premissas!$C$32),IF(2028=Premissas!$C$32,Premissas!$B$6,IF(2028=Premissas!$C$32+1,Premissas!$B$7,IF(2028=Premissas!$C$32+2,Premissas!$B$8,0))),0))</f>
        <v/>
      </c>
      <c r="H10" s="7">
        <f>G10*(1+Premissas!$B$4+IF(ISNUMBER(Premissas!$C$32),IF(2029=Premissas!$C$32,Premissas!$B$6,IF(2029=Premissas!$C$32+1,Premissas!$B$7,IF(2029=Premissas!$C$32+2,Premissas!$B$8,0))),0))</f>
        <v/>
      </c>
      <c r="I10" s="7">
        <f>H10*(1+Premissas!$B$4+IF(ISNUMBER(Premissas!$C$32),IF(2030=Premissas!$C$32,Premissas!$B$6,IF(2030=Premissas!$C$32+1,Premissas!$B$7,IF(2030=Premissas!$C$32+2,Premissas!$B$8,0))),0))</f>
        <v/>
      </c>
    </row>
    <row r="11">
      <c r="A11" s="11" t="inlineStr">
        <is>
          <t>DF</t>
        </is>
      </c>
      <c r="B11" s="11" t="inlineStr">
        <is>
          <t>Distrito Federal</t>
        </is>
      </c>
      <c r="C11" s="11" t="inlineStr">
        <is>
          <t>B2B</t>
        </is>
      </c>
      <c r="D11" s="7">
        <f>'Base Histórica 2025'!C39</f>
        <v/>
      </c>
      <c r="E11" s="7">
        <f>D11*Premissas!$B$77</f>
        <v/>
      </c>
      <c r="F11" s="7">
        <f>E11*(1+Premissas!$B$5+IF(ISNUMBER(Premissas!$C$32),IF(2027=Premissas!$C$32,Premissas!$B$6,IF(2027=Premissas!$C$32+1,Premissas!$B$7,IF(2027=Premissas!$C$32+2,Premissas!$B$8,0))),0))</f>
        <v/>
      </c>
      <c r="G11" s="7">
        <f>F11*(1+Premissas!$B$5+IF(ISNUMBER(Premissas!$C$32),IF(2028=Premissas!$C$32,Premissas!$B$6,IF(2028=Premissas!$C$32+1,Premissas!$B$7,IF(2028=Premissas!$C$32+2,Premissas!$B$8,0))),0))</f>
        <v/>
      </c>
      <c r="H11" s="7">
        <f>G11*(1+Premissas!$B$5+IF(ISNUMBER(Premissas!$C$32),IF(2029=Premissas!$C$32,Premissas!$B$6,IF(2029=Premissas!$C$32+1,Premissas!$B$7,IF(2029=Premissas!$C$32+2,Premissas!$B$8,0))),0))</f>
        <v/>
      </c>
      <c r="I11" s="7">
        <f>H11*(1+Premissas!$B$5+IF(ISNUMBER(Premissas!$C$32),IF(2030=Premissas!$C$32,Premissas!$B$6,IF(2030=Premissas!$C$32+1,Premissas!$B$7,IF(2030=Premissas!$C$32+2,Premissas!$B$8,0))),0))</f>
        <v/>
      </c>
    </row>
    <row r="12">
      <c r="A12" s="11" t="inlineStr">
        <is>
          <t>PR</t>
        </is>
      </c>
      <c r="B12" s="11" t="inlineStr">
        <is>
          <t>Paraná</t>
        </is>
      </c>
      <c r="C12" s="11" t="inlineStr">
        <is>
          <t>Varejo</t>
        </is>
      </c>
      <c r="D12" s="7">
        <f>'Base Histórica 2025'!C9</f>
        <v/>
      </c>
      <c r="E12" s="7">
        <f>D12*Premissas!$B$77</f>
        <v/>
      </c>
      <c r="F12" s="7">
        <f>E12*(1+Premissas!$B$4+IF(ISNUMBER(Premissas!$C$33),IF(2027=Premissas!$C$33,Premissas!$B$6,IF(2027=Premissas!$C$33+1,Premissas!$B$7,IF(2027=Premissas!$C$33+2,Premissas!$B$8,0))),0))</f>
        <v/>
      </c>
      <c r="G12" s="7">
        <f>F12*(1+Premissas!$B$4+IF(ISNUMBER(Premissas!$C$33),IF(2028=Premissas!$C$33,Premissas!$B$6,IF(2028=Premissas!$C$33+1,Premissas!$B$7,IF(2028=Premissas!$C$33+2,Premissas!$B$8,0))),0))</f>
        <v/>
      </c>
      <c r="H12" s="7">
        <f>G12*(1+Premissas!$B$4+IF(ISNUMBER(Premissas!$C$33),IF(2029=Premissas!$C$33,Premissas!$B$6,IF(2029=Premissas!$C$33+1,Premissas!$B$7,IF(2029=Premissas!$C$33+2,Premissas!$B$8,0))),0))</f>
        <v/>
      </c>
      <c r="I12" s="7">
        <f>H12*(1+Premissas!$B$4+IF(ISNUMBER(Premissas!$C$33),IF(2030=Premissas!$C$33,Premissas!$B$6,IF(2030=Premissas!$C$33+1,Premissas!$B$7,IF(2030=Premissas!$C$33+2,Premissas!$B$8,0))),0))</f>
        <v/>
      </c>
    </row>
    <row r="13">
      <c r="A13" s="11" t="inlineStr">
        <is>
          <t>PR</t>
        </is>
      </c>
      <c r="B13" s="11" t="inlineStr">
        <is>
          <t>Paraná</t>
        </is>
      </c>
      <c r="C13" s="11" t="inlineStr">
        <is>
          <t>B2B</t>
        </is>
      </c>
      <c r="D13" s="7">
        <f>'Base Histórica 2025'!C40</f>
        <v/>
      </c>
      <c r="E13" s="7">
        <f>D13*Premissas!$B$77</f>
        <v/>
      </c>
      <c r="F13" s="7">
        <f>E13*(1+Premissas!$B$5+IF(ISNUMBER(Premissas!$C$33),IF(2027=Premissas!$C$33,Premissas!$B$6,IF(2027=Premissas!$C$33+1,Premissas!$B$7,IF(2027=Premissas!$C$33+2,Premissas!$B$8,0))),0))</f>
        <v/>
      </c>
      <c r="G13" s="7">
        <f>F13*(1+Premissas!$B$5+IF(ISNUMBER(Premissas!$C$33),IF(2028=Premissas!$C$33,Premissas!$B$6,IF(2028=Premissas!$C$33+1,Premissas!$B$7,IF(2028=Premissas!$C$33+2,Premissas!$B$8,0))),0))</f>
        <v/>
      </c>
      <c r="H13" s="7">
        <f>G13*(1+Premissas!$B$5+IF(ISNUMBER(Premissas!$C$33),IF(2029=Premissas!$C$33,Premissas!$B$6,IF(2029=Premissas!$C$33+1,Premissas!$B$7,IF(2029=Premissas!$C$33+2,Premissas!$B$8,0))),0))</f>
        <v/>
      </c>
      <c r="I13" s="7">
        <f>H13*(1+Premissas!$B$5+IF(ISNUMBER(Premissas!$C$33),IF(2030=Premissas!$C$33,Premissas!$B$6,IF(2030=Premissas!$C$33+1,Premissas!$B$7,IF(2030=Premissas!$C$33+2,Premissas!$B$8,0))),0))</f>
        <v/>
      </c>
    </row>
    <row r="14">
      <c r="A14" s="11" t="inlineStr">
        <is>
          <t>RS</t>
        </is>
      </c>
      <c r="B14" s="11" t="inlineStr">
        <is>
          <t>Rio Grande do Sul</t>
        </is>
      </c>
      <c r="C14" s="11" t="inlineStr">
        <is>
          <t>Varejo</t>
        </is>
      </c>
      <c r="D14" s="7">
        <f>'Base Histórica 2025'!C10</f>
        <v/>
      </c>
      <c r="E14" s="7">
        <f>D14*Premissas!$B$77</f>
        <v/>
      </c>
      <c r="F14" s="7">
        <f>E14*(1+Premissas!$B$4+IF(ISNUMBER(Premissas!$C$34),IF(2027=Premissas!$C$34,Premissas!$B$6,IF(2027=Premissas!$C$34+1,Premissas!$B$7,IF(2027=Premissas!$C$34+2,Premissas!$B$8,0))),0))</f>
        <v/>
      </c>
      <c r="G14" s="7">
        <f>F14*(1+Premissas!$B$4+IF(ISNUMBER(Premissas!$C$34),IF(2028=Premissas!$C$34,Premissas!$B$6,IF(2028=Premissas!$C$34+1,Premissas!$B$7,IF(2028=Premissas!$C$34+2,Premissas!$B$8,0))),0))</f>
        <v/>
      </c>
      <c r="H14" s="7">
        <f>G14*(1+Premissas!$B$4+IF(ISNUMBER(Premissas!$C$34),IF(2029=Premissas!$C$34,Premissas!$B$6,IF(2029=Premissas!$C$34+1,Premissas!$B$7,IF(2029=Premissas!$C$34+2,Premissas!$B$8,0))),0))</f>
        <v/>
      </c>
      <c r="I14" s="7">
        <f>H14*(1+Premissas!$B$4+IF(ISNUMBER(Premissas!$C$34),IF(2030=Premissas!$C$34,Premissas!$B$6,IF(2030=Premissas!$C$34+1,Premissas!$B$7,IF(2030=Premissas!$C$34+2,Premissas!$B$8,0))),0))</f>
        <v/>
      </c>
    </row>
    <row r="15">
      <c r="A15" s="11" t="inlineStr">
        <is>
          <t>RS</t>
        </is>
      </c>
      <c r="B15" s="11" t="inlineStr">
        <is>
          <t>Rio Grande do Sul</t>
        </is>
      </c>
      <c r="C15" s="11" t="inlineStr">
        <is>
          <t>B2B</t>
        </is>
      </c>
      <c r="D15" s="7">
        <f>'Base Histórica 2025'!C41</f>
        <v/>
      </c>
      <c r="E15" s="7">
        <f>D15*Premissas!$B$77</f>
        <v/>
      </c>
      <c r="F15" s="7">
        <f>E15*(1+Premissas!$B$5+IF(ISNUMBER(Premissas!$C$34),IF(2027=Premissas!$C$34,Premissas!$B$6,IF(2027=Premissas!$C$34+1,Premissas!$B$7,IF(2027=Premissas!$C$34+2,Premissas!$B$8,0))),0))</f>
        <v/>
      </c>
      <c r="G15" s="7">
        <f>F15*(1+Premissas!$B$5+IF(ISNUMBER(Premissas!$C$34),IF(2028=Premissas!$C$34,Premissas!$B$6,IF(2028=Premissas!$C$34+1,Premissas!$B$7,IF(2028=Premissas!$C$34+2,Premissas!$B$8,0))),0))</f>
        <v/>
      </c>
      <c r="H15" s="7">
        <f>G15*(1+Premissas!$B$5+IF(ISNUMBER(Premissas!$C$34),IF(2029=Premissas!$C$34,Premissas!$B$6,IF(2029=Premissas!$C$34+1,Premissas!$B$7,IF(2029=Premissas!$C$34+2,Premissas!$B$8,0))),0))</f>
        <v/>
      </c>
      <c r="I15" s="7">
        <f>H15*(1+Premissas!$B$5+IF(ISNUMBER(Premissas!$C$34),IF(2030=Premissas!$C$34,Premissas!$B$6,IF(2030=Premissas!$C$34+1,Premissas!$B$7,IF(2030=Premissas!$C$34+2,Premissas!$B$8,0))),0))</f>
        <v/>
      </c>
    </row>
    <row r="16">
      <c r="A16" s="11" t="inlineStr">
        <is>
          <t>MG</t>
        </is>
      </c>
      <c r="B16" s="11" t="inlineStr">
        <is>
          <t>Minas Gerais</t>
        </is>
      </c>
      <c r="C16" s="11" t="inlineStr">
        <is>
          <t>Varejo</t>
        </is>
      </c>
      <c r="D16" s="7">
        <f>'Base Histórica 2025'!C11</f>
        <v/>
      </c>
      <c r="E16" s="7">
        <f>D16*Premissas!$B$77</f>
        <v/>
      </c>
      <c r="F16" s="7">
        <f>E16*(1+Premissas!$B$4+IF(ISNUMBER(Premissas!$C$35),IF(2027=Premissas!$C$35,Premissas!$B$6,IF(2027=Premissas!$C$35+1,Premissas!$B$7,IF(2027=Premissas!$C$35+2,Premissas!$B$8,0))),0))</f>
        <v/>
      </c>
      <c r="G16" s="7">
        <f>F16*(1+Premissas!$B$4+IF(ISNUMBER(Premissas!$C$35),IF(2028=Premissas!$C$35,Premissas!$B$6,IF(2028=Premissas!$C$35+1,Premissas!$B$7,IF(2028=Premissas!$C$35+2,Premissas!$B$8,0))),0))</f>
        <v/>
      </c>
      <c r="H16" s="7">
        <f>G16*(1+Premissas!$B$4+IF(ISNUMBER(Premissas!$C$35),IF(2029=Premissas!$C$35,Premissas!$B$6,IF(2029=Premissas!$C$35+1,Premissas!$B$7,IF(2029=Premissas!$C$35+2,Premissas!$B$8,0))),0))</f>
        <v/>
      </c>
      <c r="I16" s="7">
        <f>H16*(1+Premissas!$B$4+IF(ISNUMBER(Premissas!$C$35),IF(2030=Premissas!$C$35,Premissas!$B$6,IF(2030=Premissas!$C$35+1,Premissas!$B$7,IF(2030=Premissas!$C$35+2,Premissas!$B$8,0))),0))</f>
        <v/>
      </c>
    </row>
    <row r="17">
      <c r="A17" s="11" t="inlineStr">
        <is>
          <t>MG</t>
        </is>
      </c>
      <c r="B17" s="11" t="inlineStr">
        <is>
          <t>Minas Gerais</t>
        </is>
      </c>
      <c r="C17" s="11" t="inlineStr">
        <is>
          <t>B2B</t>
        </is>
      </c>
      <c r="D17" s="7">
        <f>'Base Histórica 2025'!C42</f>
        <v/>
      </c>
      <c r="E17" s="7">
        <f>D17*Premissas!$B$77</f>
        <v/>
      </c>
      <c r="F17" s="7">
        <f>E17*(1+Premissas!$B$5+IF(ISNUMBER(Premissas!$C$35),IF(2027=Premissas!$C$35,Premissas!$B$6,IF(2027=Premissas!$C$35+1,Premissas!$B$7,IF(2027=Premissas!$C$35+2,Premissas!$B$8,0))),0))</f>
        <v/>
      </c>
      <c r="G17" s="7">
        <f>F17*(1+Premissas!$B$5+IF(ISNUMBER(Premissas!$C$35),IF(2028=Premissas!$C$35,Premissas!$B$6,IF(2028=Premissas!$C$35+1,Premissas!$B$7,IF(2028=Premissas!$C$35+2,Premissas!$B$8,0))),0))</f>
        <v/>
      </c>
      <c r="H17" s="7">
        <f>G17*(1+Premissas!$B$5+IF(ISNUMBER(Premissas!$C$35),IF(2029=Premissas!$C$35,Premissas!$B$6,IF(2029=Premissas!$C$35+1,Premissas!$B$7,IF(2029=Premissas!$C$35+2,Premissas!$B$8,0))),0))</f>
        <v/>
      </c>
      <c r="I17" s="7">
        <f>H17*(1+Premissas!$B$5+IF(ISNUMBER(Premissas!$C$35),IF(2030=Premissas!$C$35,Premissas!$B$6,IF(2030=Premissas!$C$35+1,Premissas!$B$7,IF(2030=Premissas!$C$35+2,Premissas!$B$8,0))),0))</f>
        <v/>
      </c>
    </row>
    <row r="18">
      <c r="A18" s="11" t="inlineStr">
        <is>
          <t>ES</t>
        </is>
      </c>
      <c r="B18" s="11" t="inlineStr">
        <is>
          <t>Espírito Santo</t>
        </is>
      </c>
      <c r="C18" s="11" t="inlineStr">
        <is>
          <t>Varejo</t>
        </is>
      </c>
      <c r="D18" s="7">
        <f>'Base Histórica 2025'!C12</f>
        <v/>
      </c>
      <c r="E18" s="7">
        <f>D18*Premissas!$B$77</f>
        <v/>
      </c>
      <c r="F18" s="7">
        <f>E18*(1+Premissas!$B$4+IF(ISNUMBER(Premissas!$C$36),IF(2027=Premissas!$C$36,Premissas!$B$6,IF(2027=Premissas!$C$36+1,Premissas!$B$7,IF(2027=Premissas!$C$36+2,Premissas!$B$8,0))),0))</f>
        <v/>
      </c>
      <c r="G18" s="7">
        <f>F18*(1+Premissas!$B$4+IF(ISNUMBER(Premissas!$C$36),IF(2028=Premissas!$C$36,Premissas!$B$6,IF(2028=Premissas!$C$36+1,Premissas!$B$7,IF(2028=Premissas!$C$36+2,Premissas!$B$8,0))),0))</f>
        <v/>
      </c>
      <c r="H18" s="7">
        <f>G18*(1+Premissas!$B$4+IF(ISNUMBER(Premissas!$C$36),IF(2029=Premissas!$C$36,Premissas!$B$6,IF(2029=Premissas!$C$36+1,Premissas!$B$7,IF(2029=Premissas!$C$36+2,Premissas!$B$8,0))),0))</f>
        <v/>
      </c>
      <c r="I18" s="7">
        <f>H18*(1+Premissas!$B$4+IF(ISNUMBER(Premissas!$C$36),IF(2030=Premissas!$C$36,Premissas!$B$6,IF(2030=Premissas!$C$36+1,Premissas!$B$7,IF(2030=Premissas!$C$36+2,Premissas!$B$8,0))),0))</f>
        <v/>
      </c>
    </row>
    <row r="19">
      <c r="A19" s="11" t="inlineStr">
        <is>
          <t>ES</t>
        </is>
      </c>
      <c r="B19" s="11" t="inlineStr">
        <is>
          <t>Espírito Santo</t>
        </is>
      </c>
      <c r="C19" s="11" t="inlineStr">
        <is>
          <t>B2B</t>
        </is>
      </c>
      <c r="D19" s="7">
        <f>'Base Histórica 2025'!C43</f>
        <v/>
      </c>
      <c r="E19" s="7">
        <f>D19*Premissas!$B$77</f>
        <v/>
      </c>
      <c r="F19" s="7">
        <f>E19*(1+Premissas!$B$5+IF(ISNUMBER(Premissas!$C$36),IF(2027=Premissas!$C$36,Premissas!$B$6,IF(2027=Premissas!$C$36+1,Premissas!$B$7,IF(2027=Premissas!$C$36+2,Premissas!$B$8,0))),0))</f>
        <v/>
      </c>
      <c r="G19" s="7">
        <f>F19*(1+Premissas!$B$5+IF(ISNUMBER(Premissas!$C$36),IF(2028=Premissas!$C$36,Premissas!$B$6,IF(2028=Premissas!$C$36+1,Premissas!$B$7,IF(2028=Premissas!$C$36+2,Premissas!$B$8,0))),0))</f>
        <v/>
      </c>
      <c r="H19" s="7">
        <f>G19*(1+Premissas!$B$5+IF(ISNUMBER(Premissas!$C$36),IF(2029=Premissas!$C$36,Premissas!$B$6,IF(2029=Premissas!$C$36+1,Premissas!$B$7,IF(2029=Premissas!$C$36+2,Premissas!$B$8,0))),0))</f>
        <v/>
      </c>
      <c r="I19" s="7">
        <f>H19*(1+Premissas!$B$5+IF(ISNUMBER(Premissas!$C$36),IF(2030=Premissas!$C$36,Premissas!$B$6,IF(2030=Premissas!$C$36+1,Premissas!$B$7,IF(2030=Premissas!$C$36+2,Premissas!$B$8,0))),0))</f>
        <v/>
      </c>
    </row>
    <row r="20">
      <c r="A20" s="11" t="inlineStr">
        <is>
          <t>BA</t>
        </is>
      </c>
      <c r="B20" s="11" t="inlineStr">
        <is>
          <t>Bahia</t>
        </is>
      </c>
      <c r="C20" s="11" t="inlineStr">
        <is>
          <t>Varejo</t>
        </is>
      </c>
      <c r="D20" s="7">
        <f>'Base Histórica 2025'!C13</f>
        <v/>
      </c>
      <c r="E20" s="7">
        <f>D20*Premissas!$B$77</f>
        <v/>
      </c>
      <c r="F20" s="7">
        <f>E20*(1+Premissas!$B$4+IF(ISNUMBER(Premissas!$C$37),IF(2027=Premissas!$C$37,Premissas!$B$6,IF(2027=Premissas!$C$37+1,Premissas!$B$7,IF(2027=Premissas!$C$37+2,Premissas!$B$8,0))),0))</f>
        <v/>
      </c>
      <c r="G20" s="7">
        <f>F20*(1+Premissas!$B$4+IF(ISNUMBER(Premissas!$C$37),IF(2028=Premissas!$C$37,Premissas!$B$6,IF(2028=Premissas!$C$37+1,Premissas!$B$7,IF(2028=Premissas!$C$37+2,Premissas!$B$8,0))),0))</f>
        <v/>
      </c>
      <c r="H20" s="7">
        <f>G20*(1+Premissas!$B$4+IF(ISNUMBER(Premissas!$C$37),IF(2029=Premissas!$C$37,Premissas!$B$6,IF(2029=Premissas!$C$37+1,Premissas!$B$7,IF(2029=Premissas!$C$37+2,Premissas!$B$8,0))),0))</f>
        <v/>
      </c>
      <c r="I20" s="7">
        <f>H20*(1+Premissas!$B$4+IF(ISNUMBER(Premissas!$C$37),IF(2030=Premissas!$C$37,Premissas!$B$6,IF(2030=Premissas!$C$37+1,Premissas!$B$7,IF(2030=Premissas!$C$37+2,Premissas!$B$8,0))),0))</f>
        <v/>
      </c>
    </row>
    <row r="21">
      <c r="A21" s="11" t="inlineStr">
        <is>
          <t>BA</t>
        </is>
      </c>
      <c r="B21" s="11" t="inlineStr">
        <is>
          <t>Bahia</t>
        </is>
      </c>
      <c r="C21" s="11" t="inlineStr">
        <is>
          <t>B2B</t>
        </is>
      </c>
      <c r="D21" s="7">
        <f>'Base Histórica 2025'!C44</f>
        <v/>
      </c>
      <c r="E21" s="7">
        <f>D21*Premissas!$B$77</f>
        <v/>
      </c>
      <c r="F21" s="7">
        <f>E21*(1+Premissas!$B$5+IF(ISNUMBER(Premissas!$C$37),IF(2027=Premissas!$C$37,Premissas!$B$6,IF(2027=Premissas!$C$37+1,Premissas!$B$7,IF(2027=Premissas!$C$37+2,Premissas!$B$8,0))),0))</f>
        <v/>
      </c>
      <c r="G21" s="7">
        <f>F21*(1+Premissas!$B$5+IF(ISNUMBER(Premissas!$C$37),IF(2028=Premissas!$C$37,Premissas!$B$6,IF(2028=Premissas!$C$37+1,Premissas!$B$7,IF(2028=Premissas!$C$37+2,Premissas!$B$8,0))),0))</f>
        <v/>
      </c>
      <c r="H21" s="7">
        <f>G21*(1+Premissas!$B$5+IF(ISNUMBER(Premissas!$C$37),IF(2029=Premissas!$C$37,Premissas!$B$6,IF(2029=Premissas!$C$37+1,Premissas!$B$7,IF(2029=Premissas!$C$37+2,Premissas!$B$8,0))),0))</f>
        <v/>
      </c>
      <c r="I21" s="7">
        <f>H21*(1+Premissas!$B$5+IF(ISNUMBER(Premissas!$C$37),IF(2030=Premissas!$C$37,Premissas!$B$6,IF(2030=Premissas!$C$37+1,Premissas!$B$7,IF(2030=Premissas!$C$37+2,Premissas!$B$8,0))),0))</f>
        <v/>
      </c>
    </row>
    <row r="22">
      <c r="A22" s="11" t="inlineStr">
        <is>
          <t>CE</t>
        </is>
      </c>
      <c r="B22" s="11" t="inlineStr">
        <is>
          <t>Ceará</t>
        </is>
      </c>
      <c r="C22" s="11" t="inlineStr">
        <is>
          <t>Varejo</t>
        </is>
      </c>
      <c r="D22" s="7">
        <f>'Base Histórica 2025'!C14</f>
        <v/>
      </c>
      <c r="E22" s="7">
        <f>D22*Premissas!$B$77</f>
        <v/>
      </c>
      <c r="F22" s="7">
        <f>E22*(1+Premissas!$B$4+IF(ISNUMBER(Premissas!$C$38),IF(2027=Premissas!$C$38,Premissas!$B$6,IF(2027=Premissas!$C$38+1,Premissas!$B$7,IF(2027=Premissas!$C$38+2,Premissas!$B$8,0))),0))</f>
        <v/>
      </c>
      <c r="G22" s="7">
        <f>F22*(1+Premissas!$B$4+IF(ISNUMBER(Premissas!$C$38),IF(2028=Premissas!$C$38,Premissas!$B$6,IF(2028=Premissas!$C$38+1,Premissas!$B$7,IF(2028=Premissas!$C$38+2,Premissas!$B$8,0))),0))</f>
        <v/>
      </c>
      <c r="H22" s="7">
        <f>G22*(1+Premissas!$B$4+IF(ISNUMBER(Premissas!$C$38),IF(2029=Premissas!$C$38,Premissas!$B$6,IF(2029=Premissas!$C$38+1,Premissas!$B$7,IF(2029=Premissas!$C$38+2,Premissas!$B$8,0))),0))</f>
        <v/>
      </c>
      <c r="I22" s="7">
        <f>H22*(1+Premissas!$B$4+IF(ISNUMBER(Premissas!$C$38),IF(2030=Premissas!$C$38,Premissas!$B$6,IF(2030=Premissas!$C$38+1,Premissas!$B$7,IF(2030=Premissas!$C$38+2,Premissas!$B$8,0))),0))</f>
        <v/>
      </c>
    </row>
    <row r="23">
      <c r="A23" s="11" t="inlineStr">
        <is>
          <t>CE</t>
        </is>
      </c>
      <c r="B23" s="11" t="inlineStr">
        <is>
          <t>Ceará</t>
        </is>
      </c>
      <c r="C23" s="11" t="inlineStr">
        <is>
          <t>B2B</t>
        </is>
      </c>
      <c r="D23" s="7">
        <f>'Base Histórica 2025'!C45</f>
        <v/>
      </c>
      <c r="E23" s="7">
        <f>D23*Premissas!$B$77</f>
        <v/>
      </c>
      <c r="F23" s="7">
        <f>E23*(1+Premissas!$B$5+IF(ISNUMBER(Premissas!$C$38),IF(2027=Premissas!$C$38,Premissas!$B$6,IF(2027=Premissas!$C$38+1,Premissas!$B$7,IF(2027=Premissas!$C$38+2,Premissas!$B$8,0))),0))</f>
        <v/>
      </c>
      <c r="G23" s="7">
        <f>F23*(1+Premissas!$B$5+IF(ISNUMBER(Premissas!$C$38),IF(2028=Premissas!$C$38,Premissas!$B$6,IF(2028=Premissas!$C$38+1,Premissas!$B$7,IF(2028=Premissas!$C$38+2,Premissas!$B$8,0))),0))</f>
        <v/>
      </c>
      <c r="H23" s="7">
        <f>G23*(1+Premissas!$B$5+IF(ISNUMBER(Premissas!$C$38),IF(2029=Premissas!$C$38,Premissas!$B$6,IF(2029=Premissas!$C$38+1,Premissas!$B$7,IF(2029=Premissas!$C$38+2,Premissas!$B$8,0))),0))</f>
        <v/>
      </c>
      <c r="I23" s="7">
        <f>H23*(1+Premissas!$B$5+IF(ISNUMBER(Premissas!$C$38),IF(2030=Premissas!$C$38,Premissas!$B$6,IF(2030=Premissas!$C$38+1,Premissas!$B$7,IF(2030=Premissas!$C$38+2,Premissas!$B$8,0))),0))</f>
        <v/>
      </c>
    </row>
    <row r="24">
      <c r="A24" s="11" t="inlineStr">
        <is>
          <t>PE</t>
        </is>
      </c>
      <c r="B24" s="11" t="inlineStr">
        <is>
          <t>Pernambuco</t>
        </is>
      </c>
      <c r="C24" s="11" t="inlineStr">
        <is>
          <t>Varejo</t>
        </is>
      </c>
      <c r="D24" s="7">
        <f>'Base Histórica 2025'!C15</f>
        <v/>
      </c>
      <c r="E24" s="7">
        <f>D24*Premissas!$B$77</f>
        <v/>
      </c>
      <c r="F24" s="7">
        <f>E24*(1+Premissas!$B$4+IF(ISNUMBER(Premissas!$C$39),IF(2027=Premissas!$C$39,Premissas!$B$6,IF(2027=Premissas!$C$39+1,Premissas!$B$7,IF(2027=Premissas!$C$39+2,Premissas!$B$8,0))),0))</f>
        <v/>
      </c>
      <c r="G24" s="7">
        <f>F24*(1+Premissas!$B$4+IF(ISNUMBER(Premissas!$C$39),IF(2028=Premissas!$C$39,Premissas!$B$6,IF(2028=Premissas!$C$39+1,Premissas!$B$7,IF(2028=Premissas!$C$39+2,Premissas!$B$8,0))),0))</f>
        <v/>
      </c>
      <c r="H24" s="7">
        <f>G24*(1+Premissas!$B$4+IF(ISNUMBER(Premissas!$C$39),IF(2029=Premissas!$C$39,Premissas!$B$6,IF(2029=Premissas!$C$39+1,Premissas!$B$7,IF(2029=Premissas!$C$39+2,Premissas!$B$8,0))),0))</f>
        <v/>
      </c>
      <c r="I24" s="7">
        <f>H24*(1+Premissas!$B$4+IF(ISNUMBER(Premissas!$C$39),IF(2030=Premissas!$C$39,Premissas!$B$6,IF(2030=Premissas!$C$39+1,Premissas!$B$7,IF(2030=Premissas!$C$39+2,Premissas!$B$8,0))),0))</f>
        <v/>
      </c>
    </row>
    <row r="25">
      <c r="A25" s="11" t="inlineStr">
        <is>
          <t>PE</t>
        </is>
      </c>
      <c r="B25" s="11" t="inlineStr">
        <is>
          <t>Pernambuco</t>
        </is>
      </c>
      <c r="C25" s="11" t="inlineStr">
        <is>
          <t>B2B</t>
        </is>
      </c>
      <c r="D25" s="7">
        <f>'Base Histórica 2025'!C46</f>
        <v/>
      </c>
      <c r="E25" s="7">
        <f>D25*Premissas!$B$77</f>
        <v/>
      </c>
      <c r="F25" s="7">
        <f>E25*(1+Premissas!$B$5+IF(ISNUMBER(Premissas!$C$39),IF(2027=Premissas!$C$39,Premissas!$B$6,IF(2027=Premissas!$C$39+1,Premissas!$B$7,IF(2027=Premissas!$C$39+2,Premissas!$B$8,0))),0))</f>
        <v/>
      </c>
      <c r="G25" s="7">
        <f>F25*(1+Premissas!$B$5+IF(ISNUMBER(Premissas!$C$39),IF(2028=Premissas!$C$39,Premissas!$B$6,IF(2028=Premissas!$C$39+1,Premissas!$B$7,IF(2028=Premissas!$C$39+2,Premissas!$B$8,0))),0))</f>
        <v/>
      </c>
      <c r="H25" s="7">
        <f>G25*(1+Premissas!$B$5+IF(ISNUMBER(Premissas!$C$39),IF(2029=Premissas!$C$39,Premissas!$B$6,IF(2029=Premissas!$C$39+1,Premissas!$B$7,IF(2029=Premissas!$C$39+2,Premissas!$B$8,0))),0))</f>
        <v/>
      </c>
      <c r="I25" s="7">
        <f>H25*(1+Premissas!$B$5+IF(ISNUMBER(Premissas!$C$39),IF(2030=Premissas!$C$39,Premissas!$B$6,IF(2030=Premissas!$C$39+1,Premissas!$B$7,IF(2030=Premissas!$C$39+2,Premissas!$B$8,0))),0))</f>
        <v/>
      </c>
    </row>
    <row r="26">
      <c r="A26" s="11" t="inlineStr">
        <is>
          <t>MS</t>
        </is>
      </c>
      <c r="B26" s="11" t="inlineStr">
        <is>
          <t>Mato Grosso do Sul</t>
        </is>
      </c>
      <c r="C26" s="11" t="inlineStr">
        <is>
          <t>Varejo</t>
        </is>
      </c>
      <c r="D26" s="7">
        <f>'Base Histórica 2025'!C16</f>
        <v/>
      </c>
      <c r="E26" s="7">
        <f>D26*Premissas!$B$77</f>
        <v/>
      </c>
      <c r="F26" s="7">
        <f>E26*(1+Premissas!$B$4+IF(ISNUMBER(Premissas!$C$40),IF(2027=Premissas!$C$40,Premissas!$B$6,IF(2027=Premissas!$C$40+1,Premissas!$B$7,IF(2027=Premissas!$C$40+2,Premissas!$B$8,0))),0))</f>
        <v/>
      </c>
      <c r="G26" s="7">
        <f>F26*(1+Premissas!$B$4+IF(ISNUMBER(Premissas!$C$40),IF(2028=Premissas!$C$40,Premissas!$B$6,IF(2028=Premissas!$C$40+1,Premissas!$B$7,IF(2028=Premissas!$C$40+2,Premissas!$B$8,0))),0))</f>
        <v/>
      </c>
      <c r="H26" s="7">
        <f>G26*(1+Premissas!$B$4+IF(ISNUMBER(Premissas!$C$40),IF(2029=Premissas!$C$40,Premissas!$B$6,IF(2029=Premissas!$C$40+1,Premissas!$B$7,IF(2029=Premissas!$C$40+2,Premissas!$B$8,0))),0))</f>
        <v/>
      </c>
      <c r="I26" s="7">
        <f>H26*(1+Premissas!$B$4+IF(ISNUMBER(Premissas!$C$40),IF(2030=Premissas!$C$40,Premissas!$B$6,IF(2030=Premissas!$C$40+1,Premissas!$B$7,IF(2030=Premissas!$C$40+2,Premissas!$B$8,0))),0))</f>
        <v/>
      </c>
    </row>
    <row r="27">
      <c r="A27" s="11" t="inlineStr">
        <is>
          <t>MS</t>
        </is>
      </c>
      <c r="B27" s="11" t="inlineStr">
        <is>
          <t>Mato Grosso do Sul</t>
        </is>
      </c>
      <c r="C27" s="11" t="inlineStr">
        <is>
          <t>B2B</t>
        </is>
      </c>
      <c r="D27" s="7">
        <f>'Base Histórica 2025'!C47</f>
        <v/>
      </c>
      <c r="E27" s="7">
        <f>D27*Premissas!$B$77</f>
        <v/>
      </c>
      <c r="F27" s="7">
        <f>E27*(1+Premissas!$B$5+IF(ISNUMBER(Premissas!$C$40),IF(2027=Premissas!$C$40,Premissas!$B$6,IF(2027=Premissas!$C$40+1,Premissas!$B$7,IF(2027=Premissas!$C$40+2,Premissas!$B$8,0))),0))</f>
        <v/>
      </c>
      <c r="G27" s="7">
        <f>F27*(1+Premissas!$B$5+IF(ISNUMBER(Premissas!$C$40),IF(2028=Premissas!$C$40,Premissas!$B$6,IF(2028=Premissas!$C$40+1,Premissas!$B$7,IF(2028=Premissas!$C$40+2,Premissas!$B$8,0))),0))</f>
        <v/>
      </c>
      <c r="H27" s="7">
        <f>G27*(1+Premissas!$B$5+IF(ISNUMBER(Premissas!$C$40),IF(2029=Premissas!$C$40,Premissas!$B$6,IF(2029=Premissas!$C$40+1,Premissas!$B$7,IF(2029=Premissas!$C$40+2,Premissas!$B$8,0))),0))</f>
        <v/>
      </c>
      <c r="I27" s="7">
        <f>H27*(1+Premissas!$B$5+IF(ISNUMBER(Premissas!$C$40),IF(2030=Premissas!$C$40,Premissas!$B$6,IF(2030=Premissas!$C$40+1,Premissas!$B$7,IF(2030=Premissas!$C$40+2,Premissas!$B$8,0))),0))</f>
        <v/>
      </c>
    </row>
    <row r="28">
      <c r="A28" s="11" t="inlineStr">
        <is>
          <t>MT</t>
        </is>
      </c>
      <c r="B28" s="11" t="inlineStr">
        <is>
          <t>Mato Grosso</t>
        </is>
      </c>
      <c r="C28" s="11" t="inlineStr">
        <is>
          <t>Varejo</t>
        </is>
      </c>
      <c r="D28" s="7">
        <f>'Base Histórica 2025'!C17</f>
        <v/>
      </c>
      <c r="E28" s="7">
        <f>D28*Premissas!$B$77</f>
        <v/>
      </c>
      <c r="F28" s="7">
        <f>E28*(1+Premissas!$B$4+IF(ISNUMBER(Premissas!$C$41),IF(2027=Premissas!$C$41,Premissas!$B$6,IF(2027=Premissas!$C$41+1,Premissas!$B$7,IF(2027=Premissas!$C$41+2,Premissas!$B$8,0))),0))</f>
        <v/>
      </c>
      <c r="G28" s="7">
        <f>F28*(1+Premissas!$B$4+IF(ISNUMBER(Premissas!$C$41),IF(2028=Premissas!$C$41,Premissas!$B$6,IF(2028=Premissas!$C$41+1,Premissas!$B$7,IF(2028=Premissas!$C$41+2,Premissas!$B$8,0))),0))</f>
        <v/>
      </c>
      <c r="H28" s="7">
        <f>G28*(1+Premissas!$B$4+IF(ISNUMBER(Premissas!$C$41),IF(2029=Premissas!$C$41,Premissas!$B$6,IF(2029=Premissas!$C$41+1,Premissas!$B$7,IF(2029=Premissas!$C$41+2,Premissas!$B$8,0))),0))</f>
        <v/>
      </c>
      <c r="I28" s="7">
        <f>H28*(1+Premissas!$B$4+IF(ISNUMBER(Premissas!$C$41),IF(2030=Premissas!$C$41,Premissas!$B$6,IF(2030=Premissas!$C$41+1,Premissas!$B$7,IF(2030=Premissas!$C$41+2,Premissas!$B$8,0))),0))</f>
        <v/>
      </c>
    </row>
    <row r="29">
      <c r="A29" s="11" t="inlineStr">
        <is>
          <t>MT</t>
        </is>
      </c>
      <c r="B29" s="11" t="inlineStr">
        <is>
          <t>Mato Grosso</t>
        </is>
      </c>
      <c r="C29" s="11" t="inlineStr">
        <is>
          <t>B2B</t>
        </is>
      </c>
      <c r="D29" s="7">
        <f>'Base Histórica 2025'!C48</f>
        <v/>
      </c>
      <c r="E29" s="7">
        <f>D29*Premissas!$B$77</f>
        <v/>
      </c>
      <c r="F29" s="7">
        <f>E29*(1+Premissas!$B$5+IF(ISNUMBER(Premissas!$C$41),IF(2027=Premissas!$C$41,Premissas!$B$6,IF(2027=Premissas!$C$41+1,Premissas!$B$7,IF(2027=Premissas!$C$41+2,Premissas!$B$8,0))),0))</f>
        <v/>
      </c>
      <c r="G29" s="7">
        <f>F29*(1+Premissas!$B$5+IF(ISNUMBER(Premissas!$C$41),IF(2028=Premissas!$C$41,Premissas!$B$6,IF(2028=Premissas!$C$41+1,Premissas!$B$7,IF(2028=Premissas!$C$41+2,Premissas!$B$8,0))),0))</f>
        <v/>
      </c>
      <c r="H29" s="7">
        <f>G29*(1+Premissas!$B$5+IF(ISNUMBER(Premissas!$C$41),IF(2029=Premissas!$C$41,Premissas!$B$6,IF(2029=Premissas!$C$41+1,Premissas!$B$7,IF(2029=Premissas!$C$41+2,Premissas!$B$8,0))),0))</f>
        <v/>
      </c>
      <c r="I29" s="7">
        <f>H29*(1+Premissas!$B$5+IF(ISNUMBER(Premissas!$C$41),IF(2030=Premissas!$C$41,Premissas!$B$6,IF(2030=Premissas!$C$41+1,Premissas!$B$7,IF(2030=Premissas!$C$41+2,Premissas!$B$8,0))),0))</f>
        <v/>
      </c>
    </row>
    <row r="30">
      <c r="A30" s="11" t="inlineStr">
        <is>
          <t>AM</t>
        </is>
      </c>
      <c r="B30" s="11" t="inlineStr">
        <is>
          <t>Amazonas</t>
        </is>
      </c>
      <c r="C30" s="11" t="inlineStr">
        <is>
          <t>Varejo</t>
        </is>
      </c>
      <c r="D30" s="7">
        <f>'Base Histórica 2025'!C18</f>
        <v/>
      </c>
      <c r="E30" s="7">
        <f>D30*Premissas!$B$77</f>
        <v/>
      </c>
      <c r="F30" s="7">
        <f>E30*(1+Premissas!$B$4+IF(ISNUMBER(Premissas!$C$42),IF(2027=Premissas!$C$42,Premissas!$B$6,IF(2027=Premissas!$C$42+1,Premissas!$B$7,IF(2027=Premissas!$C$42+2,Premissas!$B$8,0))),0))</f>
        <v/>
      </c>
      <c r="G30" s="7">
        <f>F30*(1+Premissas!$B$4+IF(ISNUMBER(Premissas!$C$42),IF(2028=Premissas!$C$42,Premissas!$B$6,IF(2028=Premissas!$C$42+1,Premissas!$B$7,IF(2028=Premissas!$C$42+2,Premissas!$B$8,0))),0))</f>
        <v/>
      </c>
      <c r="H30" s="7">
        <f>G30*(1+Premissas!$B$4+IF(ISNUMBER(Premissas!$C$42),IF(2029=Premissas!$C$42,Premissas!$B$6,IF(2029=Premissas!$C$42+1,Premissas!$B$7,IF(2029=Premissas!$C$42+2,Premissas!$B$8,0))),0))</f>
        <v/>
      </c>
      <c r="I30" s="7">
        <f>H30*(1+Premissas!$B$4+IF(ISNUMBER(Premissas!$C$42),IF(2030=Premissas!$C$42,Premissas!$B$6,IF(2030=Premissas!$C$42+1,Premissas!$B$7,IF(2030=Premissas!$C$42+2,Premissas!$B$8,0))),0))</f>
        <v/>
      </c>
    </row>
    <row r="31">
      <c r="A31" s="11" t="inlineStr">
        <is>
          <t>AM</t>
        </is>
      </c>
      <c r="B31" s="11" t="inlineStr">
        <is>
          <t>Amazonas</t>
        </is>
      </c>
      <c r="C31" s="11" t="inlineStr">
        <is>
          <t>B2B</t>
        </is>
      </c>
      <c r="D31" s="7">
        <f>'Base Histórica 2025'!C49</f>
        <v/>
      </c>
      <c r="E31" s="7">
        <f>D31*Premissas!$B$77</f>
        <v/>
      </c>
      <c r="F31" s="7">
        <f>E31*(1+Premissas!$B$5+IF(ISNUMBER(Premissas!$C$42),IF(2027=Premissas!$C$42,Premissas!$B$6,IF(2027=Premissas!$C$42+1,Premissas!$B$7,IF(2027=Premissas!$C$42+2,Premissas!$B$8,0))),0))</f>
        <v/>
      </c>
      <c r="G31" s="7">
        <f>F31*(1+Premissas!$B$5+IF(ISNUMBER(Premissas!$C$42),IF(2028=Premissas!$C$42,Premissas!$B$6,IF(2028=Premissas!$C$42+1,Premissas!$B$7,IF(2028=Premissas!$C$42+2,Premissas!$B$8,0))),0))</f>
        <v/>
      </c>
      <c r="H31" s="7">
        <f>G31*(1+Premissas!$B$5+IF(ISNUMBER(Premissas!$C$42),IF(2029=Premissas!$C$42,Premissas!$B$6,IF(2029=Premissas!$C$42+1,Premissas!$B$7,IF(2029=Premissas!$C$42+2,Premissas!$B$8,0))),0))</f>
        <v/>
      </c>
      <c r="I31" s="7">
        <f>H31*(1+Premissas!$B$5+IF(ISNUMBER(Premissas!$C$42),IF(2030=Premissas!$C$42,Premissas!$B$6,IF(2030=Premissas!$C$42+1,Premissas!$B$7,IF(2030=Premissas!$C$42+2,Premissas!$B$8,0))),0))</f>
        <v/>
      </c>
    </row>
    <row r="32">
      <c r="A32" s="11" t="inlineStr">
        <is>
          <t>AC</t>
        </is>
      </c>
      <c r="B32" s="11" t="inlineStr">
        <is>
          <t>Acre</t>
        </is>
      </c>
      <c r="C32" s="11" t="inlineStr">
        <is>
          <t>Varejo</t>
        </is>
      </c>
      <c r="D32" s="7">
        <f>'Base Histórica 2025'!C19</f>
        <v/>
      </c>
      <c r="E32" s="7">
        <f>D32*Premissas!$B$77</f>
        <v/>
      </c>
      <c r="F32" s="7">
        <f>E32*(1+Premissas!$B$4+IF(ISNUMBER(Premissas!$C$43),IF(2027=Premissas!$C$43,Premissas!$B$6,IF(2027=Premissas!$C$43+1,Premissas!$B$7,IF(2027=Premissas!$C$43+2,Premissas!$B$8,0))),0))</f>
        <v/>
      </c>
      <c r="G32" s="7">
        <f>F32*(1+Premissas!$B$4+IF(ISNUMBER(Premissas!$C$43),IF(2028=Premissas!$C$43,Premissas!$B$6,IF(2028=Premissas!$C$43+1,Premissas!$B$7,IF(2028=Premissas!$C$43+2,Premissas!$B$8,0))),0))</f>
        <v/>
      </c>
      <c r="H32" s="7">
        <f>G32*(1+Premissas!$B$4+IF(ISNUMBER(Premissas!$C$43),IF(2029=Premissas!$C$43,Premissas!$B$6,IF(2029=Premissas!$C$43+1,Premissas!$B$7,IF(2029=Premissas!$C$43+2,Premissas!$B$8,0))),0))</f>
        <v/>
      </c>
      <c r="I32" s="7">
        <f>H32*(1+Premissas!$B$4+IF(ISNUMBER(Premissas!$C$43),IF(2030=Premissas!$C$43,Premissas!$B$6,IF(2030=Premissas!$C$43+1,Premissas!$B$7,IF(2030=Premissas!$C$43+2,Premissas!$B$8,0))),0))</f>
        <v/>
      </c>
    </row>
    <row r="33">
      <c r="A33" s="11" t="inlineStr">
        <is>
          <t>AC</t>
        </is>
      </c>
      <c r="B33" s="11" t="inlineStr">
        <is>
          <t>Acre</t>
        </is>
      </c>
      <c r="C33" s="11" t="inlineStr">
        <is>
          <t>B2B</t>
        </is>
      </c>
      <c r="D33" s="7">
        <f>'Base Histórica 2025'!C50</f>
        <v/>
      </c>
      <c r="E33" s="7">
        <f>D33*Premissas!$B$77</f>
        <v/>
      </c>
      <c r="F33" s="7">
        <f>E33*(1+Premissas!$B$5+IF(ISNUMBER(Premissas!$C$43),IF(2027=Premissas!$C$43,Premissas!$B$6,IF(2027=Premissas!$C$43+1,Premissas!$B$7,IF(2027=Premissas!$C$43+2,Premissas!$B$8,0))),0))</f>
        <v/>
      </c>
      <c r="G33" s="7">
        <f>F33*(1+Premissas!$B$5+IF(ISNUMBER(Premissas!$C$43),IF(2028=Premissas!$C$43,Premissas!$B$6,IF(2028=Premissas!$C$43+1,Premissas!$B$7,IF(2028=Premissas!$C$43+2,Premissas!$B$8,0))),0))</f>
        <v/>
      </c>
      <c r="H33" s="7">
        <f>G33*(1+Premissas!$B$5+IF(ISNUMBER(Premissas!$C$43),IF(2029=Premissas!$C$43,Premissas!$B$6,IF(2029=Premissas!$C$43+1,Premissas!$B$7,IF(2029=Premissas!$C$43+2,Premissas!$B$8,0))),0))</f>
        <v/>
      </c>
      <c r="I33" s="7">
        <f>H33*(1+Premissas!$B$5+IF(ISNUMBER(Premissas!$C$43),IF(2030=Premissas!$C$43,Premissas!$B$6,IF(2030=Premissas!$C$43+1,Premissas!$B$7,IF(2030=Premissas!$C$43+2,Premissas!$B$8,0))),0))</f>
        <v/>
      </c>
    </row>
    <row r="34">
      <c r="A34" s="11" t="inlineStr">
        <is>
          <t>AL</t>
        </is>
      </c>
      <c r="B34" s="11" t="inlineStr">
        <is>
          <t>Alagoas</t>
        </is>
      </c>
      <c r="C34" s="11" t="inlineStr">
        <is>
          <t>Varejo</t>
        </is>
      </c>
      <c r="D34" s="7">
        <f>'Base Histórica 2025'!C20</f>
        <v/>
      </c>
      <c r="E34" s="7">
        <f>D34*Premissas!$B$77</f>
        <v/>
      </c>
      <c r="F34" s="7">
        <f>E34*(1+Premissas!$B$4+IF(ISNUMBER(Premissas!$C$44),IF(2027=Premissas!$C$44,Premissas!$B$6,IF(2027=Premissas!$C$44+1,Premissas!$B$7,IF(2027=Premissas!$C$44+2,Premissas!$B$8,0))),0))</f>
        <v/>
      </c>
      <c r="G34" s="7">
        <f>F34*(1+Premissas!$B$4+IF(ISNUMBER(Premissas!$C$44),IF(2028=Premissas!$C$44,Premissas!$B$6,IF(2028=Premissas!$C$44+1,Premissas!$B$7,IF(2028=Premissas!$C$44+2,Premissas!$B$8,0))),0))</f>
        <v/>
      </c>
      <c r="H34" s="7">
        <f>G34*(1+Premissas!$B$4+IF(ISNUMBER(Premissas!$C$44),IF(2029=Premissas!$C$44,Premissas!$B$6,IF(2029=Premissas!$C$44+1,Premissas!$B$7,IF(2029=Premissas!$C$44+2,Premissas!$B$8,0))),0))</f>
        <v/>
      </c>
      <c r="I34" s="7">
        <f>H34*(1+Premissas!$B$4+IF(ISNUMBER(Premissas!$C$44),IF(2030=Premissas!$C$44,Premissas!$B$6,IF(2030=Premissas!$C$44+1,Premissas!$B$7,IF(2030=Premissas!$C$44+2,Premissas!$B$8,0))),0))</f>
        <v/>
      </c>
    </row>
    <row r="35">
      <c r="A35" s="11" t="inlineStr">
        <is>
          <t>AL</t>
        </is>
      </c>
      <c r="B35" s="11" t="inlineStr">
        <is>
          <t>Alagoas</t>
        </is>
      </c>
      <c r="C35" s="11" t="inlineStr">
        <is>
          <t>B2B</t>
        </is>
      </c>
      <c r="D35" s="7">
        <f>'Base Histórica 2025'!C51</f>
        <v/>
      </c>
      <c r="E35" s="7">
        <f>D35*Premissas!$B$77</f>
        <v/>
      </c>
      <c r="F35" s="7">
        <f>E35*(1+Premissas!$B$5+IF(ISNUMBER(Premissas!$C$44),IF(2027=Premissas!$C$44,Premissas!$B$6,IF(2027=Premissas!$C$44+1,Premissas!$B$7,IF(2027=Premissas!$C$44+2,Premissas!$B$8,0))),0))</f>
        <v/>
      </c>
      <c r="G35" s="7">
        <f>F35*(1+Premissas!$B$5+IF(ISNUMBER(Premissas!$C$44),IF(2028=Premissas!$C$44,Premissas!$B$6,IF(2028=Premissas!$C$44+1,Premissas!$B$7,IF(2028=Premissas!$C$44+2,Premissas!$B$8,0))),0))</f>
        <v/>
      </c>
      <c r="H35" s="7">
        <f>G35*(1+Premissas!$B$5+IF(ISNUMBER(Premissas!$C$44),IF(2029=Premissas!$C$44,Premissas!$B$6,IF(2029=Premissas!$C$44+1,Premissas!$B$7,IF(2029=Premissas!$C$44+2,Premissas!$B$8,0))),0))</f>
        <v/>
      </c>
      <c r="I35" s="7">
        <f>H35*(1+Premissas!$B$5+IF(ISNUMBER(Premissas!$C$44),IF(2030=Premissas!$C$44,Premissas!$B$6,IF(2030=Premissas!$C$44+1,Premissas!$B$7,IF(2030=Premissas!$C$44+2,Premissas!$B$8,0))),0))</f>
        <v/>
      </c>
    </row>
    <row r="36">
      <c r="A36" s="11" t="inlineStr">
        <is>
          <t>AP</t>
        </is>
      </c>
      <c r="B36" s="11" t="inlineStr">
        <is>
          <t>Amapá</t>
        </is>
      </c>
      <c r="C36" s="11" t="inlineStr">
        <is>
          <t>Varejo</t>
        </is>
      </c>
      <c r="D36" s="7">
        <f>'Base Histórica 2025'!C21</f>
        <v/>
      </c>
      <c r="E36" s="7">
        <f>D36*Premissas!$B$77</f>
        <v/>
      </c>
      <c r="F36" s="7">
        <f>E36*(1+Premissas!$B$4+IF(ISNUMBER(Premissas!$C$45),IF(2027=Premissas!$C$45,Premissas!$B$6,IF(2027=Premissas!$C$45+1,Premissas!$B$7,IF(2027=Premissas!$C$45+2,Premissas!$B$8,0))),0))</f>
        <v/>
      </c>
      <c r="G36" s="7">
        <f>F36*(1+Premissas!$B$4+IF(ISNUMBER(Premissas!$C$45),IF(2028=Premissas!$C$45,Premissas!$B$6,IF(2028=Premissas!$C$45+1,Premissas!$B$7,IF(2028=Premissas!$C$45+2,Premissas!$B$8,0))),0))</f>
        <v/>
      </c>
      <c r="H36" s="7">
        <f>G36*(1+Premissas!$B$4+IF(ISNUMBER(Premissas!$C$45),IF(2029=Premissas!$C$45,Premissas!$B$6,IF(2029=Premissas!$C$45+1,Premissas!$B$7,IF(2029=Premissas!$C$45+2,Premissas!$B$8,0))),0))</f>
        <v/>
      </c>
      <c r="I36" s="7">
        <f>H36*(1+Premissas!$B$4+IF(ISNUMBER(Premissas!$C$45),IF(2030=Premissas!$C$45,Premissas!$B$6,IF(2030=Premissas!$C$45+1,Premissas!$B$7,IF(2030=Premissas!$C$45+2,Premissas!$B$8,0))),0))</f>
        <v/>
      </c>
    </row>
    <row r="37">
      <c r="A37" s="11" t="inlineStr">
        <is>
          <t>AP</t>
        </is>
      </c>
      <c r="B37" s="11" t="inlineStr">
        <is>
          <t>Amapá</t>
        </is>
      </c>
      <c r="C37" s="11" t="inlineStr">
        <is>
          <t>B2B</t>
        </is>
      </c>
      <c r="D37" s="7">
        <f>'Base Histórica 2025'!C52</f>
        <v/>
      </c>
      <c r="E37" s="7">
        <f>D37*Premissas!$B$77</f>
        <v/>
      </c>
      <c r="F37" s="7">
        <f>E37*(1+Premissas!$B$5+IF(ISNUMBER(Premissas!$C$45),IF(2027=Premissas!$C$45,Premissas!$B$6,IF(2027=Premissas!$C$45+1,Premissas!$B$7,IF(2027=Premissas!$C$45+2,Premissas!$B$8,0))),0))</f>
        <v/>
      </c>
      <c r="G37" s="7">
        <f>F37*(1+Premissas!$B$5+IF(ISNUMBER(Premissas!$C$45),IF(2028=Premissas!$C$45,Premissas!$B$6,IF(2028=Premissas!$C$45+1,Premissas!$B$7,IF(2028=Premissas!$C$45+2,Premissas!$B$8,0))),0))</f>
        <v/>
      </c>
      <c r="H37" s="7">
        <f>G37*(1+Premissas!$B$5+IF(ISNUMBER(Premissas!$C$45),IF(2029=Premissas!$C$45,Premissas!$B$6,IF(2029=Premissas!$C$45+1,Premissas!$B$7,IF(2029=Premissas!$C$45+2,Premissas!$B$8,0))),0))</f>
        <v/>
      </c>
      <c r="I37" s="7">
        <f>H37*(1+Premissas!$B$5+IF(ISNUMBER(Premissas!$C$45),IF(2030=Premissas!$C$45,Premissas!$B$6,IF(2030=Premissas!$C$45+1,Premissas!$B$7,IF(2030=Premissas!$C$45+2,Premissas!$B$8,0))),0))</f>
        <v/>
      </c>
    </row>
    <row r="38">
      <c r="A38" s="11" t="inlineStr">
        <is>
          <t>GO</t>
        </is>
      </c>
      <c r="B38" s="11" t="inlineStr">
        <is>
          <t>Goiás</t>
        </is>
      </c>
      <c r="C38" s="11" t="inlineStr">
        <is>
          <t>Varejo</t>
        </is>
      </c>
      <c r="D38" s="7">
        <f>'Base Histórica 2025'!C22</f>
        <v/>
      </c>
      <c r="E38" s="7">
        <f>D38*Premissas!$B$77</f>
        <v/>
      </c>
      <c r="F38" s="7">
        <f>E38*(1+Premissas!$B$4+IF(ISNUMBER(Premissas!$C$46),IF(2027=Premissas!$C$46,Premissas!$B$6,IF(2027=Premissas!$C$46+1,Premissas!$B$7,IF(2027=Premissas!$C$46+2,Premissas!$B$8,0))),0))</f>
        <v/>
      </c>
      <c r="G38" s="7">
        <f>F38*(1+Premissas!$B$4+IF(ISNUMBER(Premissas!$C$46),IF(2028=Premissas!$C$46,Premissas!$B$6,IF(2028=Premissas!$C$46+1,Premissas!$B$7,IF(2028=Premissas!$C$46+2,Premissas!$B$8,0))),0))</f>
        <v/>
      </c>
      <c r="H38" s="7">
        <f>G38*(1+Premissas!$B$4+IF(ISNUMBER(Premissas!$C$46),IF(2029=Premissas!$C$46,Premissas!$B$6,IF(2029=Premissas!$C$46+1,Premissas!$B$7,IF(2029=Premissas!$C$46+2,Premissas!$B$8,0))),0))</f>
        <v/>
      </c>
      <c r="I38" s="7">
        <f>H38*(1+Premissas!$B$4+IF(ISNUMBER(Premissas!$C$46),IF(2030=Premissas!$C$46,Premissas!$B$6,IF(2030=Premissas!$C$46+1,Premissas!$B$7,IF(2030=Premissas!$C$46+2,Premissas!$B$8,0))),0))</f>
        <v/>
      </c>
    </row>
    <row r="39">
      <c r="A39" s="11" t="inlineStr">
        <is>
          <t>GO</t>
        </is>
      </c>
      <c r="B39" s="11" t="inlineStr">
        <is>
          <t>Goiás</t>
        </is>
      </c>
      <c r="C39" s="11" t="inlineStr">
        <is>
          <t>B2B</t>
        </is>
      </c>
      <c r="D39" s="7">
        <f>'Base Histórica 2025'!C53</f>
        <v/>
      </c>
      <c r="E39" s="7">
        <f>D39*Premissas!$B$77</f>
        <v/>
      </c>
      <c r="F39" s="7">
        <f>E39*(1+Premissas!$B$5+IF(ISNUMBER(Premissas!$C$46),IF(2027=Premissas!$C$46,Premissas!$B$6,IF(2027=Premissas!$C$46+1,Premissas!$B$7,IF(2027=Premissas!$C$46+2,Premissas!$B$8,0))),0))</f>
        <v/>
      </c>
      <c r="G39" s="7">
        <f>F39*(1+Premissas!$B$5+IF(ISNUMBER(Premissas!$C$46),IF(2028=Premissas!$C$46,Premissas!$B$6,IF(2028=Premissas!$C$46+1,Premissas!$B$7,IF(2028=Premissas!$C$46+2,Premissas!$B$8,0))),0))</f>
        <v/>
      </c>
      <c r="H39" s="7">
        <f>G39*(1+Premissas!$B$5+IF(ISNUMBER(Premissas!$C$46),IF(2029=Premissas!$C$46,Premissas!$B$6,IF(2029=Premissas!$C$46+1,Premissas!$B$7,IF(2029=Premissas!$C$46+2,Premissas!$B$8,0))),0))</f>
        <v/>
      </c>
      <c r="I39" s="7">
        <f>H39*(1+Premissas!$B$5+IF(ISNUMBER(Premissas!$C$46),IF(2030=Premissas!$C$46,Premissas!$B$6,IF(2030=Premissas!$C$46+1,Premissas!$B$7,IF(2030=Premissas!$C$46+2,Premissas!$B$8,0))),0))</f>
        <v/>
      </c>
    </row>
    <row r="40">
      <c r="A40" s="11" t="inlineStr">
        <is>
          <t>MA</t>
        </is>
      </c>
      <c r="B40" s="11" t="inlineStr">
        <is>
          <t>Maranhão</t>
        </is>
      </c>
      <c r="C40" s="11" t="inlineStr">
        <is>
          <t>Varejo</t>
        </is>
      </c>
      <c r="D40" s="7">
        <f>'Base Histórica 2025'!C23</f>
        <v/>
      </c>
      <c r="E40" s="7">
        <f>D40*Premissas!$B$77</f>
        <v/>
      </c>
      <c r="F40" s="7">
        <f>E40*(1+Premissas!$B$4+IF(ISNUMBER(Premissas!$C$47),IF(2027=Premissas!$C$47,Premissas!$B$6,IF(2027=Premissas!$C$47+1,Premissas!$B$7,IF(2027=Premissas!$C$47+2,Premissas!$B$8,0))),0))</f>
        <v/>
      </c>
      <c r="G40" s="7">
        <f>F40*(1+Premissas!$B$4+IF(ISNUMBER(Premissas!$C$47),IF(2028=Premissas!$C$47,Premissas!$B$6,IF(2028=Premissas!$C$47+1,Premissas!$B$7,IF(2028=Premissas!$C$47+2,Premissas!$B$8,0))),0))</f>
        <v/>
      </c>
      <c r="H40" s="7">
        <f>G40*(1+Premissas!$B$4+IF(ISNUMBER(Premissas!$C$47),IF(2029=Premissas!$C$47,Premissas!$B$6,IF(2029=Premissas!$C$47+1,Premissas!$B$7,IF(2029=Premissas!$C$47+2,Premissas!$B$8,0))),0))</f>
        <v/>
      </c>
      <c r="I40" s="7">
        <f>H40*(1+Premissas!$B$4+IF(ISNUMBER(Premissas!$C$47),IF(2030=Premissas!$C$47,Premissas!$B$6,IF(2030=Premissas!$C$47+1,Premissas!$B$7,IF(2030=Premissas!$C$47+2,Premissas!$B$8,0))),0))</f>
        <v/>
      </c>
    </row>
    <row r="41">
      <c r="A41" s="11" t="inlineStr">
        <is>
          <t>MA</t>
        </is>
      </c>
      <c r="B41" s="11" t="inlineStr">
        <is>
          <t>Maranhão</t>
        </is>
      </c>
      <c r="C41" s="11" t="inlineStr">
        <is>
          <t>B2B</t>
        </is>
      </c>
      <c r="D41" s="7">
        <f>'Base Histórica 2025'!C54</f>
        <v/>
      </c>
      <c r="E41" s="7">
        <f>D41*Premissas!$B$77</f>
        <v/>
      </c>
      <c r="F41" s="7">
        <f>E41*(1+Premissas!$B$5+IF(ISNUMBER(Premissas!$C$47),IF(2027=Premissas!$C$47,Premissas!$B$6,IF(2027=Premissas!$C$47+1,Premissas!$B$7,IF(2027=Premissas!$C$47+2,Premissas!$B$8,0))),0))</f>
        <v/>
      </c>
      <c r="G41" s="7">
        <f>F41*(1+Premissas!$B$5+IF(ISNUMBER(Premissas!$C$47),IF(2028=Premissas!$C$47,Premissas!$B$6,IF(2028=Premissas!$C$47+1,Premissas!$B$7,IF(2028=Premissas!$C$47+2,Premissas!$B$8,0))),0))</f>
        <v/>
      </c>
      <c r="H41" s="7">
        <f>G41*(1+Premissas!$B$5+IF(ISNUMBER(Premissas!$C$47),IF(2029=Premissas!$C$47,Premissas!$B$6,IF(2029=Premissas!$C$47+1,Premissas!$B$7,IF(2029=Premissas!$C$47+2,Premissas!$B$8,0))),0))</f>
        <v/>
      </c>
      <c r="I41" s="7">
        <f>H41*(1+Premissas!$B$5+IF(ISNUMBER(Premissas!$C$47),IF(2030=Premissas!$C$47,Premissas!$B$6,IF(2030=Premissas!$C$47+1,Premissas!$B$7,IF(2030=Premissas!$C$47+2,Premissas!$B$8,0))),0))</f>
        <v/>
      </c>
    </row>
    <row r="42">
      <c r="A42" s="11" t="inlineStr">
        <is>
          <t>PA</t>
        </is>
      </c>
      <c r="B42" s="11" t="inlineStr">
        <is>
          <t>Pará</t>
        </is>
      </c>
      <c r="C42" s="11" t="inlineStr">
        <is>
          <t>Varejo</t>
        </is>
      </c>
      <c r="D42" s="7">
        <f>'Base Histórica 2025'!C24</f>
        <v/>
      </c>
      <c r="E42" s="7">
        <f>D42*Premissas!$B$77</f>
        <v/>
      </c>
      <c r="F42" s="7">
        <f>E42*(1+Premissas!$B$4+IF(ISNUMBER(Premissas!$C$48),IF(2027=Premissas!$C$48,Premissas!$B$6,IF(2027=Premissas!$C$48+1,Premissas!$B$7,IF(2027=Premissas!$C$48+2,Premissas!$B$8,0))),0))</f>
        <v/>
      </c>
      <c r="G42" s="7">
        <f>F42*(1+Premissas!$B$4+IF(ISNUMBER(Premissas!$C$48),IF(2028=Premissas!$C$48,Premissas!$B$6,IF(2028=Premissas!$C$48+1,Premissas!$B$7,IF(2028=Premissas!$C$48+2,Premissas!$B$8,0))),0))</f>
        <v/>
      </c>
      <c r="H42" s="7">
        <f>G42*(1+Premissas!$B$4+IF(ISNUMBER(Premissas!$C$48),IF(2029=Premissas!$C$48,Premissas!$B$6,IF(2029=Premissas!$C$48+1,Premissas!$B$7,IF(2029=Premissas!$C$48+2,Premissas!$B$8,0))),0))</f>
        <v/>
      </c>
      <c r="I42" s="7">
        <f>H42*(1+Premissas!$B$4+IF(ISNUMBER(Premissas!$C$48),IF(2030=Premissas!$C$48,Premissas!$B$6,IF(2030=Premissas!$C$48+1,Premissas!$B$7,IF(2030=Premissas!$C$48+2,Premissas!$B$8,0))),0))</f>
        <v/>
      </c>
    </row>
    <row r="43">
      <c r="A43" s="11" t="inlineStr">
        <is>
          <t>PA</t>
        </is>
      </c>
      <c r="B43" s="11" t="inlineStr">
        <is>
          <t>Pará</t>
        </is>
      </c>
      <c r="C43" s="11" t="inlineStr">
        <is>
          <t>B2B</t>
        </is>
      </c>
      <c r="D43" s="7">
        <f>'Base Histórica 2025'!C55</f>
        <v/>
      </c>
      <c r="E43" s="7">
        <f>D43*Premissas!$B$77</f>
        <v/>
      </c>
      <c r="F43" s="7">
        <f>E43*(1+Premissas!$B$5+IF(ISNUMBER(Premissas!$C$48),IF(2027=Premissas!$C$48,Premissas!$B$6,IF(2027=Premissas!$C$48+1,Premissas!$B$7,IF(2027=Premissas!$C$48+2,Premissas!$B$8,0))),0))</f>
        <v/>
      </c>
      <c r="G43" s="7">
        <f>F43*(1+Premissas!$B$5+IF(ISNUMBER(Premissas!$C$48),IF(2028=Premissas!$C$48,Premissas!$B$6,IF(2028=Premissas!$C$48+1,Premissas!$B$7,IF(2028=Premissas!$C$48+2,Premissas!$B$8,0))),0))</f>
        <v/>
      </c>
      <c r="H43" s="7">
        <f>G43*(1+Premissas!$B$5+IF(ISNUMBER(Premissas!$C$48),IF(2029=Premissas!$C$48,Premissas!$B$6,IF(2029=Premissas!$C$48+1,Premissas!$B$7,IF(2029=Premissas!$C$48+2,Premissas!$B$8,0))),0))</f>
        <v/>
      </c>
      <c r="I43" s="7">
        <f>H43*(1+Premissas!$B$5+IF(ISNUMBER(Premissas!$C$48),IF(2030=Premissas!$C$48,Premissas!$B$6,IF(2030=Premissas!$C$48+1,Premissas!$B$7,IF(2030=Premissas!$C$48+2,Premissas!$B$8,0))),0))</f>
        <v/>
      </c>
    </row>
    <row r="44">
      <c r="A44" s="11" t="inlineStr">
        <is>
          <t>PB</t>
        </is>
      </c>
      <c r="B44" s="11" t="inlineStr">
        <is>
          <t>Paraíba</t>
        </is>
      </c>
      <c r="C44" s="11" t="inlineStr">
        <is>
          <t>Varejo</t>
        </is>
      </c>
      <c r="D44" s="7">
        <f>'Base Histórica 2025'!C25</f>
        <v/>
      </c>
      <c r="E44" s="7">
        <f>D44*Premissas!$B$77</f>
        <v/>
      </c>
      <c r="F44" s="7">
        <f>E44*(1+Premissas!$B$4+IF(ISNUMBER(Premissas!$C$49),IF(2027=Premissas!$C$49,Premissas!$B$6,IF(2027=Premissas!$C$49+1,Premissas!$B$7,IF(2027=Premissas!$C$49+2,Premissas!$B$8,0))),0))</f>
        <v/>
      </c>
      <c r="G44" s="7">
        <f>F44*(1+Premissas!$B$4+IF(ISNUMBER(Premissas!$C$49),IF(2028=Premissas!$C$49,Premissas!$B$6,IF(2028=Premissas!$C$49+1,Premissas!$B$7,IF(2028=Premissas!$C$49+2,Premissas!$B$8,0))),0))</f>
        <v/>
      </c>
      <c r="H44" s="7">
        <f>G44*(1+Premissas!$B$4+IF(ISNUMBER(Premissas!$C$49),IF(2029=Premissas!$C$49,Premissas!$B$6,IF(2029=Premissas!$C$49+1,Premissas!$B$7,IF(2029=Premissas!$C$49+2,Premissas!$B$8,0))),0))</f>
        <v/>
      </c>
      <c r="I44" s="7">
        <f>H44*(1+Premissas!$B$4+IF(ISNUMBER(Premissas!$C$49),IF(2030=Premissas!$C$49,Premissas!$B$6,IF(2030=Premissas!$C$49+1,Premissas!$B$7,IF(2030=Premissas!$C$49+2,Premissas!$B$8,0))),0))</f>
        <v/>
      </c>
    </row>
    <row r="45">
      <c r="A45" s="11" t="inlineStr">
        <is>
          <t>PB</t>
        </is>
      </c>
      <c r="B45" s="11" t="inlineStr">
        <is>
          <t>Paraíba</t>
        </is>
      </c>
      <c r="C45" s="11" t="inlineStr">
        <is>
          <t>B2B</t>
        </is>
      </c>
      <c r="D45" s="7">
        <f>'Base Histórica 2025'!C56</f>
        <v/>
      </c>
      <c r="E45" s="7">
        <f>D45*Premissas!$B$77</f>
        <v/>
      </c>
      <c r="F45" s="7">
        <f>E45*(1+Premissas!$B$5+IF(ISNUMBER(Premissas!$C$49),IF(2027=Premissas!$C$49,Premissas!$B$6,IF(2027=Premissas!$C$49+1,Premissas!$B$7,IF(2027=Premissas!$C$49+2,Premissas!$B$8,0))),0))</f>
        <v/>
      </c>
      <c r="G45" s="7">
        <f>F45*(1+Premissas!$B$5+IF(ISNUMBER(Premissas!$C$49),IF(2028=Premissas!$C$49,Premissas!$B$6,IF(2028=Premissas!$C$49+1,Premissas!$B$7,IF(2028=Premissas!$C$49+2,Premissas!$B$8,0))),0))</f>
        <v/>
      </c>
      <c r="H45" s="7">
        <f>G45*(1+Premissas!$B$5+IF(ISNUMBER(Premissas!$C$49),IF(2029=Premissas!$C$49,Premissas!$B$6,IF(2029=Premissas!$C$49+1,Premissas!$B$7,IF(2029=Premissas!$C$49+2,Premissas!$B$8,0))),0))</f>
        <v/>
      </c>
      <c r="I45" s="7">
        <f>H45*(1+Premissas!$B$5+IF(ISNUMBER(Premissas!$C$49),IF(2030=Premissas!$C$49,Premissas!$B$6,IF(2030=Premissas!$C$49+1,Premissas!$B$7,IF(2030=Premissas!$C$49+2,Premissas!$B$8,0))),0))</f>
        <v/>
      </c>
    </row>
    <row r="46">
      <c r="A46" s="11" t="inlineStr">
        <is>
          <t>PI</t>
        </is>
      </c>
      <c r="B46" s="11" t="inlineStr">
        <is>
          <t>Piauí</t>
        </is>
      </c>
      <c r="C46" s="11" t="inlineStr">
        <is>
          <t>Varejo</t>
        </is>
      </c>
      <c r="D46" s="7">
        <f>'Base Histórica 2025'!C26</f>
        <v/>
      </c>
      <c r="E46" s="7">
        <f>D46*Premissas!$B$77</f>
        <v/>
      </c>
      <c r="F46" s="7">
        <f>E46*(1+Premissas!$B$4+IF(ISNUMBER(Premissas!$C$50),IF(2027=Premissas!$C$50,Premissas!$B$6,IF(2027=Premissas!$C$50+1,Premissas!$B$7,IF(2027=Premissas!$C$50+2,Premissas!$B$8,0))),0))</f>
        <v/>
      </c>
      <c r="G46" s="7">
        <f>F46*(1+Premissas!$B$4+IF(ISNUMBER(Premissas!$C$50),IF(2028=Premissas!$C$50,Premissas!$B$6,IF(2028=Premissas!$C$50+1,Premissas!$B$7,IF(2028=Premissas!$C$50+2,Premissas!$B$8,0))),0))</f>
        <v/>
      </c>
      <c r="H46" s="7">
        <f>G46*(1+Premissas!$B$4+IF(ISNUMBER(Premissas!$C$50),IF(2029=Premissas!$C$50,Premissas!$B$6,IF(2029=Premissas!$C$50+1,Premissas!$B$7,IF(2029=Premissas!$C$50+2,Premissas!$B$8,0))),0))</f>
        <v/>
      </c>
      <c r="I46" s="7">
        <f>H46*(1+Premissas!$B$4+IF(ISNUMBER(Premissas!$C$50),IF(2030=Premissas!$C$50,Premissas!$B$6,IF(2030=Premissas!$C$50+1,Premissas!$B$7,IF(2030=Premissas!$C$50+2,Premissas!$B$8,0))),0))</f>
        <v/>
      </c>
    </row>
    <row r="47">
      <c r="A47" s="11" t="inlineStr">
        <is>
          <t>PI</t>
        </is>
      </c>
      <c r="B47" s="11" t="inlineStr">
        <is>
          <t>Piauí</t>
        </is>
      </c>
      <c r="C47" s="11" t="inlineStr">
        <is>
          <t>B2B</t>
        </is>
      </c>
      <c r="D47" s="7">
        <f>'Base Histórica 2025'!C57</f>
        <v/>
      </c>
      <c r="E47" s="7">
        <f>D47*Premissas!$B$77</f>
        <v/>
      </c>
      <c r="F47" s="7">
        <f>E47*(1+Premissas!$B$5+IF(ISNUMBER(Premissas!$C$50),IF(2027=Premissas!$C$50,Premissas!$B$6,IF(2027=Premissas!$C$50+1,Premissas!$B$7,IF(2027=Premissas!$C$50+2,Premissas!$B$8,0))),0))</f>
        <v/>
      </c>
      <c r="G47" s="7">
        <f>F47*(1+Premissas!$B$5+IF(ISNUMBER(Premissas!$C$50),IF(2028=Premissas!$C$50,Premissas!$B$6,IF(2028=Premissas!$C$50+1,Premissas!$B$7,IF(2028=Premissas!$C$50+2,Premissas!$B$8,0))),0))</f>
        <v/>
      </c>
      <c r="H47" s="7">
        <f>G47*(1+Premissas!$B$5+IF(ISNUMBER(Premissas!$C$50),IF(2029=Premissas!$C$50,Premissas!$B$6,IF(2029=Premissas!$C$50+1,Premissas!$B$7,IF(2029=Premissas!$C$50+2,Premissas!$B$8,0))),0))</f>
        <v/>
      </c>
      <c r="I47" s="7">
        <f>H47*(1+Premissas!$B$5+IF(ISNUMBER(Premissas!$C$50),IF(2030=Premissas!$C$50,Premissas!$B$6,IF(2030=Premissas!$C$50+1,Premissas!$B$7,IF(2030=Premissas!$C$50+2,Premissas!$B$8,0))),0))</f>
        <v/>
      </c>
    </row>
    <row r="48">
      <c r="A48" s="11" t="inlineStr">
        <is>
          <t>RN</t>
        </is>
      </c>
      <c r="B48" s="11" t="inlineStr">
        <is>
          <t>Rio Grande do Norte</t>
        </is>
      </c>
      <c r="C48" s="11" t="inlineStr">
        <is>
          <t>Varejo</t>
        </is>
      </c>
      <c r="D48" s="7">
        <f>'Base Histórica 2025'!C27</f>
        <v/>
      </c>
      <c r="E48" s="7">
        <f>D48*Premissas!$B$77</f>
        <v/>
      </c>
      <c r="F48" s="7">
        <f>E48*(1+Premissas!$B$4+IF(ISNUMBER(Premissas!$C$51),IF(2027=Premissas!$C$51,Premissas!$B$6,IF(2027=Premissas!$C$51+1,Premissas!$B$7,IF(2027=Premissas!$C$51+2,Premissas!$B$8,0))),0))</f>
        <v/>
      </c>
      <c r="G48" s="7">
        <f>F48*(1+Premissas!$B$4+IF(ISNUMBER(Premissas!$C$51),IF(2028=Premissas!$C$51,Premissas!$B$6,IF(2028=Premissas!$C$51+1,Premissas!$B$7,IF(2028=Premissas!$C$51+2,Premissas!$B$8,0))),0))</f>
        <v/>
      </c>
      <c r="H48" s="7">
        <f>G48*(1+Premissas!$B$4+IF(ISNUMBER(Premissas!$C$51),IF(2029=Premissas!$C$51,Premissas!$B$6,IF(2029=Premissas!$C$51+1,Premissas!$B$7,IF(2029=Premissas!$C$51+2,Premissas!$B$8,0))),0))</f>
        <v/>
      </c>
      <c r="I48" s="7">
        <f>H48*(1+Premissas!$B$4+IF(ISNUMBER(Premissas!$C$51),IF(2030=Premissas!$C$51,Premissas!$B$6,IF(2030=Premissas!$C$51+1,Premissas!$B$7,IF(2030=Premissas!$C$51+2,Premissas!$B$8,0))),0))</f>
        <v/>
      </c>
    </row>
    <row r="49">
      <c r="A49" s="11" t="inlineStr">
        <is>
          <t>RN</t>
        </is>
      </c>
      <c r="B49" s="11" t="inlineStr">
        <is>
          <t>Rio Grande do Norte</t>
        </is>
      </c>
      <c r="C49" s="11" t="inlineStr">
        <is>
          <t>B2B</t>
        </is>
      </c>
      <c r="D49" s="7">
        <f>'Base Histórica 2025'!C58</f>
        <v/>
      </c>
      <c r="E49" s="7">
        <f>D49*Premissas!$B$77</f>
        <v/>
      </c>
      <c r="F49" s="7">
        <f>E49*(1+Premissas!$B$5+IF(ISNUMBER(Premissas!$C$51),IF(2027=Premissas!$C$51,Premissas!$B$6,IF(2027=Premissas!$C$51+1,Premissas!$B$7,IF(2027=Premissas!$C$51+2,Premissas!$B$8,0))),0))</f>
        <v/>
      </c>
      <c r="G49" s="7">
        <f>F49*(1+Premissas!$B$5+IF(ISNUMBER(Premissas!$C$51),IF(2028=Premissas!$C$51,Premissas!$B$6,IF(2028=Premissas!$C$51+1,Premissas!$B$7,IF(2028=Premissas!$C$51+2,Premissas!$B$8,0))),0))</f>
        <v/>
      </c>
      <c r="H49" s="7">
        <f>G49*(1+Premissas!$B$5+IF(ISNUMBER(Premissas!$C$51),IF(2029=Premissas!$C$51,Premissas!$B$6,IF(2029=Premissas!$C$51+1,Premissas!$B$7,IF(2029=Premissas!$C$51+2,Premissas!$B$8,0))),0))</f>
        <v/>
      </c>
      <c r="I49" s="7">
        <f>H49*(1+Premissas!$B$5+IF(ISNUMBER(Premissas!$C$51),IF(2030=Premissas!$C$51,Premissas!$B$6,IF(2030=Premissas!$C$51+1,Premissas!$B$7,IF(2030=Premissas!$C$51+2,Premissas!$B$8,0))),0))</f>
        <v/>
      </c>
    </row>
    <row r="50">
      <c r="A50" s="11" t="inlineStr">
        <is>
          <t>RO</t>
        </is>
      </c>
      <c r="B50" s="11" t="inlineStr">
        <is>
          <t>Rondônia</t>
        </is>
      </c>
      <c r="C50" s="11" t="inlineStr">
        <is>
          <t>Varejo</t>
        </is>
      </c>
      <c r="D50" s="7">
        <f>'Base Histórica 2025'!C28</f>
        <v/>
      </c>
      <c r="E50" s="7">
        <f>D50*Premissas!$B$77</f>
        <v/>
      </c>
      <c r="F50" s="7">
        <f>E50*(1+Premissas!$B$4+IF(ISNUMBER(Premissas!$C$52),IF(2027=Premissas!$C$52,Premissas!$B$6,IF(2027=Premissas!$C$52+1,Premissas!$B$7,IF(2027=Premissas!$C$52+2,Premissas!$B$8,0))),0))</f>
        <v/>
      </c>
      <c r="G50" s="7">
        <f>F50*(1+Premissas!$B$4+IF(ISNUMBER(Premissas!$C$52),IF(2028=Premissas!$C$52,Premissas!$B$6,IF(2028=Premissas!$C$52+1,Premissas!$B$7,IF(2028=Premissas!$C$52+2,Premissas!$B$8,0))),0))</f>
        <v/>
      </c>
      <c r="H50" s="7">
        <f>G50*(1+Premissas!$B$4+IF(ISNUMBER(Premissas!$C$52),IF(2029=Premissas!$C$52,Premissas!$B$6,IF(2029=Premissas!$C$52+1,Premissas!$B$7,IF(2029=Premissas!$C$52+2,Premissas!$B$8,0))),0))</f>
        <v/>
      </c>
      <c r="I50" s="7">
        <f>H50*(1+Premissas!$B$4+IF(ISNUMBER(Premissas!$C$52),IF(2030=Premissas!$C$52,Premissas!$B$6,IF(2030=Premissas!$C$52+1,Premissas!$B$7,IF(2030=Premissas!$C$52+2,Premissas!$B$8,0))),0))</f>
        <v/>
      </c>
    </row>
    <row r="51">
      <c r="A51" s="11" t="inlineStr">
        <is>
          <t>RO</t>
        </is>
      </c>
      <c r="B51" s="11" t="inlineStr">
        <is>
          <t>Rondônia</t>
        </is>
      </c>
      <c r="C51" s="11" t="inlineStr">
        <is>
          <t>B2B</t>
        </is>
      </c>
      <c r="D51" s="7">
        <f>'Base Histórica 2025'!C59</f>
        <v/>
      </c>
      <c r="E51" s="7">
        <f>D51*Premissas!$B$77</f>
        <v/>
      </c>
      <c r="F51" s="7">
        <f>E51*(1+Premissas!$B$5+IF(ISNUMBER(Premissas!$C$52),IF(2027=Premissas!$C$52,Premissas!$B$6,IF(2027=Premissas!$C$52+1,Premissas!$B$7,IF(2027=Premissas!$C$52+2,Premissas!$B$8,0))),0))</f>
        <v/>
      </c>
      <c r="G51" s="7">
        <f>F51*(1+Premissas!$B$5+IF(ISNUMBER(Premissas!$C$52),IF(2028=Premissas!$C$52,Premissas!$B$6,IF(2028=Premissas!$C$52+1,Premissas!$B$7,IF(2028=Premissas!$C$52+2,Premissas!$B$8,0))),0))</f>
        <v/>
      </c>
      <c r="H51" s="7">
        <f>G51*(1+Premissas!$B$5+IF(ISNUMBER(Premissas!$C$52),IF(2029=Premissas!$C$52,Premissas!$B$6,IF(2029=Premissas!$C$52+1,Premissas!$B$7,IF(2029=Premissas!$C$52+2,Premissas!$B$8,0))),0))</f>
        <v/>
      </c>
      <c r="I51" s="7">
        <f>H51*(1+Premissas!$B$5+IF(ISNUMBER(Premissas!$C$52),IF(2030=Premissas!$C$52,Premissas!$B$6,IF(2030=Premissas!$C$52+1,Premissas!$B$7,IF(2030=Premissas!$C$52+2,Premissas!$B$8,0))),0))</f>
        <v/>
      </c>
    </row>
    <row r="52">
      <c r="A52" s="11" t="inlineStr">
        <is>
          <t>RR</t>
        </is>
      </c>
      <c r="B52" s="11" t="inlineStr">
        <is>
          <t>Roraima</t>
        </is>
      </c>
      <c r="C52" s="11" t="inlineStr">
        <is>
          <t>Varejo</t>
        </is>
      </c>
      <c r="D52" s="7">
        <f>'Base Histórica 2025'!C29</f>
        <v/>
      </c>
      <c r="E52" s="7">
        <f>D52*Premissas!$B$77</f>
        <v/>
      </c>
      <c r="F52" s="7">
        <f>E52*(1+Premissas!$B$4+IF(ISNUMBER(Premissas!$C$53),IF(2027=Premissas!$C$53,Premissas!$B$6,IF(2027=Premissas!$C$53+1,Premissas!$B$7,IF(2027=Premissas!$C$53+2,Premissas!$B$8,0))),0))</f>
        <v/>
      </c>
      <c r="G52" s="7">
        <f>F52*(1+Premissas!$B$4+IF(ISNUMBER(Premissas!$C$53),IF(2028=Premissas!$C$53,Premissas!$B$6,IF(2028=Premissas!$C$53+1,Premissas!$B$7,IF(2028=Premissas!$C$53+2,Premissas!$B$8,0))),0))</f>
        <v/>
      </c>
      <c r="H52" s="7">
        <f>G52*(1+Premissas!$B$4+IF(ISNUMBER(Premissas!$C$53),IF(2029=Premissas!$C$53,Premissas!$B$6,IF(2029=Premissas!$C$53+1,Premissas!$B$7,IF(2029=Premissas!$C$53+2,Premissas!$B$8,0))),0))</f>
        <v/>
      </c>
      <c r="I52" s="7">
        <f>H52*(1+Premissas!$B$4+IF(ISNUMBER(Premissas!$C$53),IF(2030=Premissas!$C$53,Premissas!$B$6,IF(2030=Premissas!$C$53+1,Premissas!$B$7,IF(2030=Premissas!$C$53+2,Premissas!$B$8,0))),0))</f>
        <v/>
      </c>
    </row>
    <row r="53">
      <c r="A53" s="11" t="inlineStr">
        <is>
          <t>RR</t>
        </is>
      </c>
      <c r="B53" s="11" t="inlineStr">
        <is>
          <t>Roraima</t>
        </is>
      </c>
      <c r="C53" s="11" t="inlineStr">
        <is>
          <t>B2B</t>
        </is>
      </c>
      <c r="D53" s="7">
        <f>'Base Histórica 2025'!C60</f>
        <v/>
      </c>
      <c r="E53" s="7">
        <f>D53*Premissas!$B$77</f>
        <v/>
      </c>
      <c r="F53" s="7">
        <f>E53*(1+Premissas!$B$5+IF(ISNUMBER(Premissas!$C$53),IF(2027=Premissas!$C$53,Premissas!$B$6,IF(2027=Premissas!$C$53+1,Premissas!$B$7,IF(2027=Premissas!$C$53+2,Premissas!$B$8,0))),0))</f>
        <v/>
      </c>
      <c r="G53" s="7">
        <f>F53*(1+Premissas!$B$5+IF(ISNUMBER(Premissas!$C$53),IF(2028=Premissas!$C$53,Premissas!$B$6,IF(2028=Premissas!$C$53+1,Premissas!$B$7,IF(2028=Premissas!$C$53+2,Premissas!$B$8,0))),0))</f>
        <v/>
      </c>
      <c r="H53" s="7">
        <f>G53*(1+Premissas!$B$5+IF(ISNUMBER(Premissas!$C$53),IF(2029=Premissas!$C$53,Premissas!$B$6,IF(2029=Premissas!$C$53+1,Premissas!$B$7,IF(2029=Premissas!$C$53+2,Premissas!$B$8,0))),0))</f>
        <v/>
      </c>
      <c r="I53" s="7">
        <f>H53*(1+Premissas!$B$5+IF(ISNUMBER(Premissas!$C$53),IF(2030=Premissas!$C$53,Premissas!$B$6,IF(2030=Premissas!$C$53+1,Premissas!$B$7,IF(2030=Premissas!$C$53+2,Premissas!$B$8,0))),0))</f>
        <v/>
      </c>
    </row>
    <row r="54">
      <c r="A54" s="11" t="inlineStr">
        <is>
          <t>SE</t>
        </is>
      </c>
      <c r="B54" s="11" t="inlineStr">
        <is>
          <t>Sergipe</t>
        </is>
      </c>
      <c r="C54" s="11" t="inlineStr">
        <is>
          <t>Varejo</t>
        </is>
      </c>
      <c r="D54" s="7">
        <f>'Base Histórica 2025'!C30</f>
        <v/>
      </c>
      <c r="E54" s="7">
        <f>D54*Premissas!$B$77</f>
        <v/>
      </c>
      <c r="F54" s="7">
        <f>E54*(1+Premissas!$B$4+IF(ISNUMBER(Premissas!$C$54),IF(2027=Premissas!$C$54,Premissas!$B$6,IF(2027=Premissas!$C$54+1,Premissas!$B$7,IF(2027=Premissas!$C$54+2,Premissas!$B$8,0))),0))</f>
        <v/>
      </c>
      <c r="G54" s="7">
        <f>F54*(1+Premissas!$B$4+IF(ISNUMBER(Premissas!$C$54),IF(2028=Premissas!$C$54,Premissas!$B$6,IF(2028=Premissas!$C$54+1,Premissas!$B$7,IF(2028=Premissas!$C$54+2,Premissas!$B$8,0))),0))</f>
        <v/>
      </c>
      <c r="H54" s="7">
        <f>G54*(1+Premissas!$B$4+IF(ISNUMBER(Premissas!$C$54),IF(2029=Premissas!$C$54,Premissas!$B$6,IF(2029=Premissas!$C$54+1,Premissas!$B$7,IF(2029=Premissas!$C$54+2,Premissas!$B$8,0))),0))</f>
        <v/>
      </c>
      <c r="I54" s="7">
        <f>H54*(1+Premissas!$B$4+IF(ISNUMBER(Premissas!$C$54),IF(2030=Premissas!$C$54,Premissas!$B$6,IF(2030=Premissas!$C$54+1,Premissas!$B$7,IF(2030=Premissas!$C$54+2,Premissas!$B$8,0))),0))</f>
        <v/>
      </c>
    </row>
    <row r="55">
      <c r="A55" s="11" t="inlineStr">
        <is>
          <t>SE</t>
        </is>
      </c>
      <c r="B55" s="11" t="inlineStr">
        <is>
          <t>Sergipe</t>
        </is>
      </c>
      <c r="C55" s="11" t="inlineStr">
        <is>
          <t>B2B</t>
        </is>
      </c>
      <c r="D55" s="7">
        <f>'Base Histórica 2025'!C61</f>
        <v/>
      </c>
      <c r="E55" s="7">
        <f>D55*Premissas!$B$77</f>
        <v/>
      </c>
      <c r="F55" s="7">
        <f>E55*(1+Premissas!$B$5+IF(ISNUMBER(Premissas!$C$54),IF(2027=Premissas!$C$54,Premissas!$B$6,IF(2027=Premissas!$C$54+1,Premissas!$B$7,IF(2027=Premissas!$C$54+2,Premissas!$B$8,0))),0))</f>
        <v/>
      </c>
      <c r="G55" s="7">
        <f>F55*(1+Premissas!$B$5+IF(ISNUMBER(Premissas!$C$54),IF(2028=Premissas!$C$54,Premissas!$B$6,IF(2028=Premissas!$C$54+1,Premissas!$B$7,IF(2028=Premissas!$C$54+2,Premissas!$B$8,0))),0))</f>
        <v/>
      </c>
      <c r="H55" s="7">
        <f>G55*(1+Premissas!$B$5+IF(ISNUMBER(Premissas!$C$54),IF(2029=Premissas!$C$54,Premissas!$B$6,IF(2029=Premissas!$C$54+1,Premissas!$B$7,IF(2029=Premissas!$C$54+2,Premissas!$B$8,0))),0))</f>
        <v/>
      </c>
      <c r="I55" s="7">
        <f>H55*(1+Premissas!$B$5+IF(ISNUMBER(Premissas!$C$54),IF(2030=Premissas!$C$54,Premissas!$B$6,IF(2030=Premissas!$C$54+1,Premissas!$B$7,IF(2030=Premissas!$C$54+2,Premissas!$B$8,0))),0))</f>
        <v/>
      </c>
    </row>
    <row r="56">
      <c r="A56" s="11" t="inlineStr">
        <is>
          <t>TO</t>
        </is>
      </c>
      <c r="B56" s="11" t="inlineStr">
        <is>
          <t>Tocantins</t>
        </is>
      </c>
      <c r="C56" s="11" t="inlineStr">
        <is>
          <t>Varejo</t>
        </is>
      </c>
      <c r="D56" s="7">
        <f>'Base Histórica 2025'!C31</f>
        <v/>
      </c>
      <c r="E56" s="7">
        <f>D56*Premissas!$B$77</f>
        <v/>
      </c>
      <c r="F56" s="7">
        <f>E56*(1+Premissas!$B$4+IF(ISNUMBER(Premissas!$C$55),IF(2027=Premissas!$C$55,Premissas!$B$6,IF(2027=Premissas!$C$55+1,Premissas!$B$7,IF(2027=Premissas!$C$55+2,Premissas!$B$8,0))),0))</f>
        <v/>
      </c>
      <c r="G56" s="7">
        <f>F56*(1+Premissas!$B$4+IF(ISNUMBER(Premissas!$C$55),IF(2028=Premissas!$C$55,Premissas!$B$6,IF(2028=Premissas!$C$55+1,Premissas!$B$7,IF(2028=Premissas!$C$55+2,Premissas!$B$8,0))),0))</f>
        <v/>
      </c>
      <c r="H56" s="7">
        <f>G56*(1+Premissas!$B$4+IF(ISNUMBER(Premissas!$C$55),IF(2029=Premissas!$C$55,Premissas!$B$6,IF(2029=Premissas!$C$55+1,Premissas!$B$7,IF(2029=Premissas!$C$55+2,Premissas!$B$8,0))),0))</f>
        <v/>
      </c>
      <c r="I56" s="7">
        <f>H56*(1+Premissas!$B$4+IF(ISNUMBER(Premissas!$C$55),IF(2030=Premissas!$C$55,Premissas!$B$6,IF(2030=Premissas!$C$55+1,Premissas!$B$7,IF(2030=Premissas!$C$55+2,Premissas!$B$8,0))),0))</f>
        <v/>
      </c>
    </row>
    <row r="57">
      <c r="A57" s="11" t="inlineStr">
        <is>
          <t>TO</t>
        </is>
      </c>
      <c r="B57" s="11" t="inlineStr">
        <is>
          <t>Tocantins</t>
        </is>
      </c>
      <c r="C57" s="11" t="inlineStr">
        <is>
          <t>B2B</t>
        </is>
      </c>
      <c r="D57" s="7">
        <f>'Base Histórica 2025'!C62</f>
        <v/>
      </c>
      <c r="E57" s="7">
        <f>D57*Premissas!$B$77</f>
        <v/>
      </c>
      <c r="F57" s="7">
        <f>E57*(1+Premissas!$B$5+IF(ISNUMBER(Premissas!$C$55),IF(2027=Premissas!$C$55,Premissas!$B$6,IF(2027=Premissas!$C$55+1,Premissas!$B$7,IF(2027=Premissas!$C$55+2,Premissas!$B$8,0))),0))</f>
        <v/>
      </c>
      <c r="G57" s="7">
        <f>F57*(1+Premissas!$B$5+IF(ISNUMBER(Premissas!$C$55),IF(2028=Premissas!$C$55,Premissas!$B$6,IF(2028=Premissas!$C$55+1,Premissas!$B$7,IF(2028=Premissas!$C$55+2,Premissas!$B$8,0))),0))</f>
        <v/>
      </c>
      <c r="H57" s="7">
        <f>G57*(1+Premissas!$B$5+IF(ISNUMBER(Premissas!$C$55),IF(2029=Premissas!$C$55,Premissas!$B$6,IF(2029=Premissas!$C$55+1,Premissas!$B$7,IF(2029=Premissas!$C$55+2,Premissas!$B$8,0))),0))</f>
        <v/>
      </c>
      <c r="I57" s="7">
        <f>H57*(1+Premissas!$B$5+IF(ISNUMBER(Premissas!$C$55),IF(2030=Premissas!$C$55,Premissas!$B$6,IF(2030=Premissas!$C$55+1,Premissas!$B$7,IF(2030=Premissas!$C$55+2,Premissas!$B$8,0))),0))</f>
        <v/>
      </c>
    </row>
    <row r="58" ht="16" customHeight="1">
      <c r="A58" t="inlineStr">
        <is>
          <t>—</t>
        </is>
      </c>
      <c r="B58" t="inlineStr">
        <is>
          <t>—</t>
        </is>
      </c>
      <c r="C58" s="46" t="inlineStr">
        <is>
          <t>Online (site próprio + Mercado Livre + Amazon)</t>
        </is>
      </c>
      <c r="D58" s="54" t="n">
        <v>35000000</v>
      </c>
      <c r="E58" s="54">
        <f>D58*Premissas!$B$77</f>
        <v/>
      </c>
      <c r="F58" s="54">
        <f>E58*(1+Premissas!$B$9)</f>
        <v/>
      </c>
      <c r="G58" s="54">
        <f>F58*(1+Premissas!$B$9)</f>
        <v/>
      </c>
      <c r="H58" s="54">
        <f>G58*(1+Premissas!$B$9)</f>
        <v/>
      </c>
      <c r="I58" s="54">
        <f>H58*(1+Premissas!$B$9)</f>
        <v/>
      </c>
    </row>
    <row r="59">
      <c r="C59" s="18" t="inlineStr">
        <is>
          <t>TOTAL VAREJO + B2B + ONLINE</t>
        </is>
      </c>
      <c r="D59" s="19">
        <f>SUM(D4:D58)</f>
        <v/>
      </c>
      <c r="E59" s="19">
        <f>SUM(E4:E58)</f>
        <v/>
      </c>
      <c r="F59" s="19">
        <f>SUM(F4:F58)</f>
        <v/>
      </c>
      <c r="G59" s="19">
        <f>SUM(G4:G58)</f>
        <v/>
      </c>
      <c r="H59" s="19">
        <f>SUM(H4:H58)</f>
        <v/>
      </c>
      <c r="I59" s="19">
        <f>SUM(I4:I58)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0" t="inlineStr">
        <is>
          <t>OPORTUNIDADE DE RECEITA — GAP DE DISTRIBUIÇÃO (MIX)</t>
        </is>
      </c>
    </row>
    <row r="2" ht="40" customHeight="1">
      <c r="A2" s="23" t="inlineStr">
        <is>
          <t>Simulação de receita incremental a partir do fechamento do GAP de SKUs distribuídos (mix atual x meta), por estado — fonte: mix_oportunidade_redes_prioritarias.xlsx, 18/ago/2026. Análise separada da linha de crescimento orgânico de Varejo já modelada em 'Projeção Receita' — para comparação lado a lado antes de decidir se e como incorporar à linha de Varejo do simulador.</t>
        </is>
      </c>
    </row>
    <row r="4">
      <c r="A4" s="91" t="inlineStr">
        <is>
          <t>1. Premissas desta análise</t>
        </is>
      </c>
    </row>
    <row r="5">
      <c r="A5" t="inlineStr">
        <is>
          <t>Giro incremental por SKU novo (% do faturamento médio por SKU atual)</t>
        </is>
      </c>
      <c r="E5" s="92" t="n">
        <v>0.5</v>
      </c>
    </row>
    <row r="6">
      <c r="A6" t="inlineStr">
        <is>
          <t>Anos para fechar o GAP de distribuição (ramp linear a partir de 2026)</t>
        </is>
      </c>
      <c r="E6" s="93" t="n">
        <v>3</v>
      </c>
    </row>
    <row r="8" ht="38" customHeight="1">
      <c r="A8" s="23" t="inlineStr">
        <is>
          <t>Nota de escopo: SKUs atuais e GAP vêm do arquivo de redes prioritárias mapeadas — não cobre necessariamente 100% do faturamento Varejo do estado. Em estados onde essas redes são uma fatia pequena do total, o faturamento médio por SKU abaixo pode estar SUPERESTIMADO. Validar escopo antes de uso operacional.</t>
        </is>
      </c>
    </row>
    <row r="10">
      <c r="A10" s="91" t="inlineStr">
        <is>
          <t>2. Cálculo por Estado</t>
        </is>
      </c>
    </row>
    <row r="11" ht="30" customHeight="1">
      <c r="A11" s="94" t="inlineStr">
        <is>
          <t>Estado</t>
        </is>
      </c>
      <c r="B11" s="94" t="inlineStr">
        <is>
          <t>Fat. Bruto Varejo 2025 (R$)</t>
        </is>
      </c>
      <c r="C11" s="94" t="inlineStr">
        <is>
          <t>SKUs Atuais (mix)</t>
        </is>
      </c>
      <c r="D11" s="94" t="inlineStr">
        <is>
          <t>GAP SKUs (piso 0)</t>
        </is>
      </c>
      <c r="E11" s="94" t="inlineStr">
        <is>
          <t>Fat. médio por SKU atual (R$)</t>
        </is>
      </c>
      <c r="F11" s="94" t="inlineStr">
        <is>
          <t>Giro incremental / SKU novo (R$)</t>
        </is>
      </c>
      <c r="G11" s="94" t="inlineStr">
        <is>
          <t>Receita incremental potencial (R$)</t>
        </is>
      </c>
    </row>
    <row r="12">
      <c r="A12" s="83" t="inlineStr">
        <is>
          <t>SP</t>
        </is>
      </c>
      <c r="B12" s="95">
        <f>'Base Histórica 2025'!C5</f>
        <v/>
      </c>
      <c r="C12" s="96" t="n">
        <v>12269</v>
      </c>
      <c r="D12" s="96" t="n">
        <v>4277</v>
      </c>
      <c r="E12" s="95">
        <f>IF(C12=0,0,B12/C12)</f>
        <v/>
      </c>
      <c r="F12" s="95">
        <f>E12*$E$5</f>
        <v/>
      </c>
      <c r="G12" s="95">
        <f>D12*F12</f>
        <v/>
      </c>
    </row>
    <row r="13">
      <c r="A13" s="83" t="inlineStr">
        <is>
          <t>RJ</t>
        </is>
      </c>
      <c r="B13" s="95">
        <f>'Base Histórica 2025'!C6</f>
        <v/>
      </c>
      <c r="C13" s="96" t="n">
        <v>774</v>
      </c>
      <c r="D13" s="96" t="n">
        <v>4281</v>
      </c>
      <c r="E13" s="95">
        <f>IF(C13=0,0,B13/C13)</f>
        <v/>
      </c>
      <c r="F13" s="95">
        <f>E13*$E$5</f>
        <v/>
      </c>
      <c r="G13" s="95">
        <f>D13*F13</f>
        <v/>
      </c>
    </row>
    <row r="14">
      <c r="A14" s="83" t="inlineStr">
        <is>
          <t>SC</t>
        </is>
      </c>
      <c r="B14" s="95">
        <f>'Base Histórica 2025'!C7</f>
        <v/>
      </c>
      <c r="C14" s="96" t="n">
        <v>731</v>
      </c>
      <c r="D14" s="96" t="n">
        <v>2126</v>
      </c>
      <c r="E14" s="95">
        <f>IF(C14=0,0,B14/C14)</f>
        <v/>
      </c>
      <c r="F14" s="95">
        <f>E14*$E$5</f>
        <v/>
      </c>
      <c r="G14" s="95">
        <f>D14*F14</f>
        <v/>
      </c>
    </row>
    <row r="15">
      <c r="A15" s="83" t="inlineStr">
        <is>
          <t>PR</t>
        </is>
      </c>
      <c r="B15" s="95">
        <f>'Base Histórica 2025'!C9</f>
        <v/>
      </c>
      <c r="C15" s="96" t="n">
        <v>1889</v>
      </c>
      <c r="D15" s="96" t="n">
        <v>2930</v>
      </c>
      <c r="E15" s="95">
        <f>IF(C15=0,0,B15/C15)</f>
        <v/>
      </c>
      <c r="F15" s="95">
        <f>E15*$E$5</f>
        <v/>
      </c>
      <c r="G15" s="95">
        <f>D15*F15</f>
        <v/>
      </c>
    </row>
    <row r="16">
      <c r="A16" s="83" t="inlineStr">
        <is>
          <t>RS</t>
        </is>
      </c>
      <c r="B16" s="95">
        <f>'Base Histórica 2025'!C10</f>
        <v/>
      </c>
      <c r="C16" s="96" t="n">
        <v>126</v>
      </c>
      <c r="D16" s="96" t="n">
        <v>450</v>
      </c>
      <c r="E16" s="95">
        <f>IF(C16=0,0,B16/C16)</f>
        <v/>
      </c>
      <c r="F16" s="95">
        <f>E16*$E$5</f>
        <v/>
      </c>
      <c r="G16" s="95">
        <f>D16*F16</f>
        <v/>
      </c>
    </row>
    <row r="17">
      <c r="A17" s="97" t="inlineStr">
        <is>
          <t>TOTAL</t>
        </is>
      </c>
      <c r="B17" s="98">
        <f>SUM(B12:B16)</f>
        <v/>
      </c>
      <c r="C17" s="99">
        <f>SUM(C12:C16)</f>
        <v/>
      </c>
      <c r="D17" s="99">
        <f>SUM(D12:D16)</f>
        <v/>
      </c>
      <c r="E17" s="100" t="n"/>
      <c r="F17" s="100" t="n"/>
      <c r="G17" s="98">
        <f>SUM(G12:G16)</f>
        <v/>
      </c>
    </row>
    <row r="19">
      <c r="A19" s="91" t="inlineStr">
        <is>
          <t>3. Ramp Anual — Receita Incremental (fechamento gradual do GAP)</t>
        </is>
      </c>
    </row>
    <row r="20" ht="26" customHeight="1">
      <c r="A20" s="23" t="inlineStr">
        <is>
          <t>Cada estado fecha seu GAP linearmente ao longo do número de anos definido na premissa acima (início em 2026). Receita incremental do ano = Receita incremental potencial total × MIN(1, (ano-2025)/anos_fechar).</t>
        </is>
      </c>
    </row>
    <row r="21">
      <c r="A21" s="101" t="inlineStr">
        <is>
          <t>Estado</t>
        </is>
      </c>
      <c r="B21" s="101" t="inlineStr">
        <is>
          <t>2026</t>
        </is>
      </c>
      <c r="C21" s="101" t="inlineStr">
        <is>
          <t>2027</t>
        </is>
      </c>
      <c r="D21" s="101" t="inlineStr">
        <is>
          <t>2028</t>
        </is>
      </c>
      <c r="E21" s="101" t="inlineStr">
        <is>
          <t>2029</t>
        </is>
      </c>
      <c r="F21" s="101" t="inlineStr">
        <is>
          <t>2030</t>
        </is>
      </c>
    </row>
    <row r="22">
      <c r="A22" s="83" t="inlineStr">
        <is>
          <t>SP</t>
        </is>
      </c>
      <c r="B22" s="95">
        <f>$G$12*MIN(1,(2026-2025)/$E$6)</f>
        <v/>
      </c>
      <c r="C22" s="95">
        <f>$G$12*MIN(1,(2027-2025)/$E$6)</f>
        <v/>
      </c>
      <c r="D22" s="95">
        <f>$G$12*MIN(1,(2028-2025)/$E$6)</f>
        <v/>
      </c>
      <c r="E22" s="95">
        <f>$G$12*MIN(1,(2029-2025)/$E$6)</f>
        <v/>
      </c>
      <c r="F22" s="95">
        <f>$G$12*MIN(1,(2030-2025)/$E$6)</f>
        <v/>
      </c>
    </row>
    <row r="23">
      <c r="A23" s="83" t="inlineStr">
        <is>
          <t>RJ</t>
        </is>
      </c>
      <c r="B23" s="95">
        <f>$G$13*MIN(1,(2026-2025)/$E$6)</f>
        <v/>
      </c>
      <c r="C23" s="95">
        <f>$G$13*MIN(1,(2027-2025)/$E$6)</f>
        <v/>
      </c>
      <c r="D23" s="95">
        <f>$G$13*MIN(1,(2028-2025)/$E$6)</f>
        <v/>
      </c>
      <c r="E23" s="95">
        <f>$G$13*MIN(1,(2029-2025)/$E$6)</f>
        <v/>
      </c>
      <c r="F23" s="95">
        <f>$G$13*MIN(1,(2030-2025)/$E$6)</f>
        <v/>
      </c>
    </row>
    <row r="24">
      <c r="A24" s="83" t="inlineStr">
        <is>
          <t>SC</t>
        </is>
      </c>
      <c r="B24" s="95">
        <f>$G$14*MIN(1,(2026-2025)/$E$6)</f>
        <v/>
      </c>
      <c r="C24" s="95">
        <f>$G$14*MIN(1,(2027-2025)/$E$6)</f>
        <v/>
      </c>
      <c r="D24" s="95">
        <f>$G$14*MIN(1,(2028-2025)/$E$6)</f>
        <v/>
      </c>
      <c r="E24" s="95">
        <f>$G$14*MIN(1,(2029-2025)/$E$6)</f>
        <v/>
      </c>
      <c r="F24" s="95">
        <f>$G$14*MIN(1,(2030-2025)/$E$6)</f>
        <v/>
      </c>
    </row>
    <row r="25">
      <c r="A25" s="83" t="inlineStr">
        <is>
          <t>PR</t>
        </is>
      </c>
      <c r="B25" s="95">
        <f>$G$15*MIN(1,(2026-2025)/$E$6)</f>
        <v/>
      </c>
      <c r="C25" s="95">
        <f>$G$15*MIN(1,(2027-2025)/$E$6)</f>
        <v/>
      </c>
      <c r="D25" s="95">
        <f>$G$15*MIN(1,(2028-2025)/$E$6)</f>
        <v/>
      </c>
      <c r="E25" s="95">
        <f>$G$15*MIN(1,(2029-2025)/$E$6)</f>
        <v/>
      </c>
      <c r="F25" s="95">
        <f>$G$15*MIN(1,(2030-2025)/$E$6)</f>
        <v/>
      </c>
    </row>
    <row r="26">
      <c r="A26" s="83" t="inlineStr">
        <is>
          <t>RS</t>
        </is>
      </c>
      <c r="B26" s="95">
        <f>$G$16*MIN(1,(2026-2025)/$E$6)</f>
        <v/>
      </c>
      <c r="C26" s="95">
        <f>$G$16*MIN(1,(2027-2025)/$E$6)</f>
        <v/>
      </c>
      <c r="D26" s="95">
        <f>$G$16*MIN(1,(2028-2025)/$E$6)</f>
        <v/>
      </c>
      <c r="E26" s="95">
        <f>$G$16*MIN(1,(2029-2025)/$E$6)</f>
        <v/>
      </c>
      <c r="F26" s="95">
        <f>$G$16*MIN(1,(2030-2025)/$E$6)</f>
        <v/>
      </c>
    </row>
    <row r="27">
      <c r="A27" s="97" t="inlineStr">
        <is>
          <t>TOTAL</t>
        </is>
      </c>
      <c r="B27" s="98">
        <f>SUM(B22:B26)</f>
        <v/>
      </c>
      <c r="C27" s="98">
        <f>SUM(C22:C26)</f>
        <v/>
      </c>
      <c r="D27" s="98">
        <f>SUM(D22:D26)</f>
        <v/>
      </c>
      <c r="E27" s="98">
        <f>SUM(E22:E26)</f>
        <v/>
      </c>
      <c r="F27" s="98">
        <f>SUM(F22:F26)</f>
        <v/>
      </c>
    </row>
    <row r="29">
      <c r="A29" s="91" t="inlineStr">
        <is>
          <t>4. Comparação — Varejo Orgânico vs. Varejo + Oportunidade GAP Mix</t>
        </is>
      </c>
    </row>
    <row r="30" ht="26" customHeight="1">
      <c r="A30" s="23" t="inlineStr">
        <is>
          <t>Para inclusão futura na linha de Varejo (se aprovado): soma do crescimento orgânico já modelado em 'Projeção Receita' com a receita incremental do fechamento de GAP (seção 3 acima).</t>
        </is>
      </c>
    </row>
    <row r="31">
      <c r="A31" s="101" t="inlineStr"/>
      <c r="B31" s="101" t="inlineStr">
        <is>
          <t>2026</t>
        </is>
      </c>
      <c r="C31" s="101" t="inlineStr">
        <is>
          <t>2027</t>
        </is>
      </c>
      <c r="D31" s="101" t="inlineStr">
        <is>
          <t>2028</t>
        </is>
      </c>
      <c r="E31" s="101" t="inlineStr">
        <is>
          <t>2029</t>
        </is>
      </c>
      <c r="F31" s="101" t="inlineStr">
        <is>
          <t>2030</t>
        </is>
      </c>
    </row>
    <row r="32">
      <c r="A32" t="inlineStr">
        <is>
          <t>Varejo orgânico (Projeção Receita, SP+RJ+SC+PR+RS)</t>
        </is>
      </c>
      <c r="B32" s="102">
        <f>'Projeção Receita'!E4+'Projeção Receita'!E6+'Projeção Receita'!E8+'Projeção Receita'!E12+'Projeção Receita'!E14</f>
        <v/>
      </c>
      <c r="C32" s="102">
        <f>'Projeção Receita'!F4+'Projeção Receita'!F6+'Projeção Receita'!F8+'Projeção Receita'!F12+'Projeção Receita'!F14</f>
        <v/>
      </c>
      <c r="D32" s="102">
        <f>'Projeção Receita'!G4+'Projeção Receita'!G6+'Projeção Receita'!G8+'Projeção Receita'!G12+'Projeção Receita'!G14</f>
        <v/>
      </c>
      <c r="E32" s="102">
        <f>'Projeção Receita'!H4+'Projeção Receita'!H6+'Projeção Receita'!H8+'Projeção Receita'!H12+'Projeção Receita'!H14</f>
        <v/>
      </c>
      <c r="F32" s="102">
        <f>'Projeção Receita'!I4+'Projeção Receita'!I6+'Projeção Receita'!I8+'Projeção Receita'!I12+'Projeção Receita'!I14</f>
        <v/>
      </c>
    </row>
    <row r="33">
      <c r="A33" t="inlineStr">
        <is>
          <t>+ Oportunidade GAP Mix (ramp, seção 3)</t>
        </is>
      </c>
      <c r="B33" s="102">
        <f>B27</f>
        <v/>
      </c>
      <c r="C33" s="102">
        <f>C27</f>
        <v/>
      </c>
      <c r="D33" s="102">
        <f>D27</f>
        <v/>
      </c>
      <c r="E33" s="102">
        <f>E27</f>
        <v/>
      </c>
      <c r="F33" s="102">
        <f>F27</f>
        <v/>
      </c>
    </row>
    <row r="34">
      <c r="A34" s="97" t="inlineStr">
        <is>
          <t>Varejo Total (orgânico + GAP mix)</t>
        </is>
      </c>
      <c r="B34" s="98">
        <f>B32+B33</f>
        <v/>
      </c>
      <c r="C34" s="98">
        <f>C32+C33</f>
        <v/>
      </c>
      <c r="D34" s="98">
        <f>D32+D33</f>
        <v/>
      </c>
      <c r="E34" s="98">
        <f>E32+E33</f>
        <v/>
      </c>
      <c r="F34" s="98">
        <f>F32+F33</f>
        <v/>
      </c>
    </row>
    <row r="35">
      <c r="A35" s="103" t="inlineStr">
        <is>
          <t>Uplift % vs. Varejo orgânico</t>
        </is>
      </c>
      <c r="B35" s="104">
        <f>B33/B32</f>
        <v/>
      </c>
      <c r="C35" s="104">
        <f>C33/C32</f>
        <v/>
      </c>
      <c r="D35" s="104">
        <f>D33/D32</f>
        <v/>
      </c>
      <c r="E35" s="104">
        <f>E33/E32</f>
        <v/>
      </c>
      <c r="F35" s="104">
        <f>F33/F32</f>
        <v/>
      </c>
    </row>
    <row r="37">
      <c r="A37" s="91" t="inlineStr">
        <is>
          <t>Leitura</t>
        </is>
      </c>
    </row>
    <row r="38" ht="40" customHeight="1">
      <c r="A38" s="85" t="inlineStr">
        <is>
          <t>•  Este cálculo trata a oportunidade de GAP como incremental E ADICIONAL ao crescimento orgânico já modelado — não substitui as premissas de Premissas!B4 (25,5% a.a.), que já embutem alguma expansão de mix implícita. Antes de somar as duas linhas na Projeção Receita oficial, vale checar se não há dupla contagem.</t>
        </is>
      </c>
    </row>
    <row r="39" ht="40" customHeight="1">
      <c r="A39" s="85" t="inlineStr">
        <is>
          <t>•  O giro incremental de 50% é uma premissa de arranque conservadora — SKU novo tipicamente gira abaixo da média madura da loja. Ajustável na célula A5.</t>
        </is>
      </c>
    </row>
    <row r="40" ht="40" customHeight="1">
      <c r="A40" s="85" t="inlineStr">
        <is>
          <t>•  O ramp de 3 anos (padrão) é uma primeira hipótese de execução — pode ser encurtado se o time comercial priorizar ativação rápida das lojas 'Sem mix' (ver análise em slides, seção de recomendações).</t>
        </is>
      </c>
    </row>
    <row r="41" ht="40" customHeight="1">
      <c r="A41" s="85" t="inlineStr">
        <is>
          <t>•  Fat. médio por SKU está sujeito à limitação de escopo descrita acima (nota de seção 1) — mais confiável em termos relativos (comparação entre estados) do que em valor absoluto.</t>
        </is>
      </c>
    </row>
  </sheetData>
  <mergeCells count="11">
    <mergeCell ref="A5:D5"/>
    <mergeCell ref="A41:I41"/>
    <mergeCell ref="A2:I2"/>
    <mergeCell ref="A6:D6"/>
    <mergeCell ref="A1:I1"/>
    <mergeCell ref="A40:I40"/>
    <mergeCell ref="A8:I8"/>
    <mergeCell ref="A39:I39"/>
    <mergeCell ref="A38:I38"/>
    <mergeCell ref="A20:I20"/>
    <mergeCell ref="A30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90" t="inlineStr">
        <is>
          <t>B2B — FATURAMENTO POR ESTADO E CIDADE (2025-2030)</t>
        </is>
      </c>
    </row>
    <row r="2" ht="40" customHeight="1">
      <c r="A2" s="23" t="inlineStr">
        <is>
          <t>Base real: transações B2B 2025 por cidade (Simulador Orfeu.xlsx, aba Base_Unitaria). Cada cidade cresce na MESMA taxa do seu estado em 'Projeção Receita' (mix de cidade dentro do estado mantido constante de 2025 — premissa a validar com dado real de 2026+ quando disponível). Cidades com faturamento 2025 abaixo de R$30k ficam agrupadas em 'Outras cidades do estado'.</t>
        </is>
      </c>
    </row>
    <row r="4">
      <c r="A4" s="101" t="inlineStr">
        <is>
          <t>UF</t>
        </is>
      </c>
      <c r="B4" s="101" t="inlineStr">
        <is>
          <t>Cidade</t>
        </is>
      </c>
      <c r="C4" s="101" t="inlineStr">
        <is>
          <t>2025</t>
        </is>
      </c>
      <c r="D4" s="101" t="inlineStr">
        <is>
          <t>2026</t>
        </is>
      </c>
      <c r="E4" s="101" t="inlineStr">
        <is>
          <t>2027</t>
        </is>
      </c>
      <c r="F4" s="101" t="inlineStr">
        <is>
          <t>2028</t>
        </is>
      </c>
      <c r="G4" s="101" t="inlineStr">
        <is>
          <t>2029</t>
        </is>
      </c>
      <c r="H4" s="101" t="inlineStr">
        <is>
          <t>2030</t>
        </is>
      </c>
      <c r="I4" s="101" t="inlineStr">
        <is>
          <t>Mult. 2030/2025</t>
        </is>
      </c>
    </row>
    <row r="5">
      <c r="A5" s="108" t="inlineStr">
        <is>
          <t>SP</t>
        </is>
      </c>
      <c r="B5" s="108" t="inlineStr">
        <is>
          <t>TOTAL SP (B2B)</t>
        </is>
      </c>
      <c r="C5" s="109">
        <f>'Projeção Receita'!D5</f>
        <v/>
      </c>
      <c r="D5" s="109">
        <f>'Projeção Receita'!E5</f>
        <v/>
      </c>
      <c r="E5" s="109">
        <f>'Projeção Receita'!F5</f>
        <v/>
      </c>
      <c r="F5" s="109">
        <f>'Projeção Receita'!G5</f>
        <v/>
      </c>
      <c r="G5" s="109">
        <f>'Projeção Receita'!H5</f>
        <v/>
      </c>
      <c r="H5" s="109">
        <f>'Projeção Receita'!I5</f>
        <v/>
      </c>
      <c r="I5" s="110">
        <f>I5/C5</f>
        <v/>
      </c>
    </row>
    <row r="6">
      <c r="A6" s="83" t="inlineStr">
        <is>
          <t>SP</t>
        </is>
      </c>
      <c r="B6" s="83" t="inlineStr">
        <is>
          <t>Sao Paulo</t>
        </is>
      </c>
      <c r="C6" s="96" t="n">
        <v>7342394.95</v>
      </c>
      <c r="D6" s="96">
        <f>$C6*('Projeção Receita'!E5/'Projeção Receita'!$D$5)</f>
        <v/>
      </c>
      <c r="E6" s="96">
        <f>$C6*('Projeção Receita'!F5/'Projeção Receita'!$D$5)</f>
        <v/>
      </c>
      <c r="F6" s="96">
        <f>$C6*('Projeção Receita'!G5/'Projeção Receita'!$D$5)</f>
        <v/>
      </c>
      <c r="G6" s="96">
        <f>$C6*('Projeção Receita'!H5/'Projeção Receita'!$D$5)</f>
        <v/>
      </c>
      <c r="H6" s="96">
        <f>$C6*('Projeção Receita'!I5/'Projeção Receita'!$D$5)</f>
        <v/>
      </c>
      <c r="I6" s="111">
        <f>I6/C6</f>
        <v/>
      </c>
    </row>
    <row r="7">
      <c r="A7" s="83" t="inlineStr">
        <is>
          <t>SP</t>
        </is>
      </c>
      <c r="B7" s="83" t="inlineStr">
        <is>
          <t>Jundiai</t>
        </is>
      </c>
      <c r="C7" s="96" t="n">
        <v>955415.8199999999</v>
      </c>
      <c r="D7" s="96">
        <f>$C7*('Projeção Receita'!E5/'Projeção Receita'!$D$5)</f>
        <v/>
      </c>
      <c r="E7" s="96">
        <f>$C7*('Projeção Receita'!F5/'Projeção Receita'!$D$5)</f>
        <v/>
      </c>
      <c r="F7" s="96">
        <f>$C7*('Projeção Receita'!G5/'Projeção Receita'!$D$5)</f>
        <v/>
      </c>
      <c r="G7" s="96">
        <f>$C7*('Projeção Receita'!H5/'Projeção Receita'!$D$5)</f>
        <v/>
      </c>
      <c r="H7" s="96">
        <f>$C7*('Projeção Receita'!I5/'Projeção Receita'!$D$5)</f>
        <v/>
      </c>
      <c r="I7" s="111">
        <f>I7/C7</f>
        <v/>
      </c>
    </row>
    <row r="8">
      <c r="A8" s="83" t="inlineStr">
        <is>
          <t>SP</t>
        </is>
      </c>
      <c r="B8" s="83" t="inlineStr">
        <is>
          <t>Catanduva</t>
        </is>
      </c>
      <c r="C8" s="96" t="n">
        <v>521371.76</v>
      </c>
      <c r="D8" s="96">
        <f>$C8*('Projeção Receita'!E5/'Projeção Receita'!$D$5)</f>
        <v/>
      </c>
      <c r="E8" s="96">
        <f>$C8*('Projeção Receita'!F5/'Projeção Receita'!$D$5)</f>
        <v/>
      </c>
      <c r="F8" s="96">
        <f>$C8*('Projeção Receita'!G5/'Projeção Receita'!$D$5)</f>
        <v/>
      </c>
      <c r="G8" s="96">
        <f>$C8*('Projeção Receita'!H5/'Projeção Receita'!$D$5)</f>
        <v/>
      </c>
      <c r="H8" s="96">
        <f>$C8*('Projeção Receita'!I5/'Projeção Receita'!$D$5)</f>
        <v/>
      </c>
      <c r="I8" s="111">
        <f>I8/C8</f>
        <v/>
      </c>
    </row>
    <row r="9">
      <c r="A9" s="83" t="inlineStr">
        <is>
          <t>SP</t>
        </is>
      </c>
      <c r="B9" s="83" t="inlineStr">
        <is>
          <t>Barueri</t>
        </is>
      </c>
      <c r="C9" s="96" t="n">
        <v>512216.01</v>
      </c>
      <c r="D9" s="96">
        <f>$C9*('Projeção Receita'!E5/'Projeção Receita'!$D$5)</f>
        <v/>
      </c>
      <c r="E9" s="96">
        <f>$C9*('Projeção Receita'!F5/'Projeção Receita'!$D$5)</f>
        <v/>
      </c>
      <c r="F9" s="96">
        <f>$C9*('Projeção Receita'!G5/'Projeção Receita'!$D$5)</f>
        <v/>
      </c>
      <c r="G9" s="96">
        <f>$C9*('Projeção Receita'!H5/'Projeção Receita'!$D$5)</f>
        <v/>
      </c>
      <c r="H9" s="96">
        <f>$C9*('Projeção Receita'!I5/'Projeção Receita'!$D$5)</f>
        <v/>
      </c>
      <c r="I9" s="111">
        <f>I9/C9</f>
        <v/>
      </c>
    </row>
    <row r="10">
      <c r="A10" s="83" t="inlineStr">
        <is>
          <t>SP</t>
        </is>
      </c>
      <c r="B10" s="83" t="inlineStr">
        <is>
          <t>Santa Barbara D Oeste</t>
        </is>
      </c>
      <c r="C10" s="96" t="n">
        <v>389755.44</v>
      </c>
      <c r="D10" s="96">
        <f>$C10*('Projeção Receita'!E5/'Projeção Receita'!$D$5)</f>
        <v/>
      </c>
      <c r="E10" s="96">
        <f>$C10*('Projeção Receita'!F5/'Projeção Receita'!$D$5)</f>
        <v/>
      </c>
      <c r="F10" s="96">
        <f>$C10*('Projeção Receita'!G5/'Projeção Receita'!$D$5)</f>
        <v/>
      </c>
      <c r="G10" s="96">
        <f>$C10*('Projeção Receita'!H5/'Projeção Receita'!$D$5)</f>
        <v/>
      </c>
      <c r="H10" s="96">
        <f>$C10*('Projeção Receita'!I5/'Projeção Receita'!$D$5)</f>
        <v/>
      </c>
      <c r="I10" s="111">
        <f>I10/C10</f>
        <v/>
      </c>
    </row>
    <row r="11">
      <c r="A11" s="83" t="inlineStr">
        <is>
          <t>SP</t>
        </is>
      </c>
      <c r="B11" s="83" t="inlineStr">
        <is>
          <t>Sao Carlos</t>
        </is>
      </c>
      <c r="C11" s="96" t="n">
        <v>328493.52</v>
      </c>
      <c r="D11" s="96">
        <f>$C11*('Projeção Receita'!E5/'Projeção Receita'!$D$5)</f>
        <v/>
      </c>
      <c r="E11" s="96">
        <f>$C11*('Projeção Receita'!F5/'Projeção Receita'!$D$5)</f>
        <v/>
      </c>
      <c r="F11" s="96">
        <f>$C11*('Projeção Receita'!G5/'Projeção Receita'!$D$5)</f>
        <v/>
      </c>
      <c r="G11" s="96">
        <f>$C11*('Projeção Receita'!H5/'Projeção Receita'!$D$5)</f>
        <v/>
      </c>
      <c r="H11" s="96">
        <f>$C11*('Projeção Receita'!I5/'Projeção Receita'!$D$5)</f>
        <v/>
      </c>
      <c r="I11" s="111">
        <f>I11/C11</f>
        <v/>
      </c>
    </row>
    <row r="12">
      <c r="A12" s="83" t="inlineStr">
        <is>
          <t>SP</t>
        </is>
      </c>
      <c r="B12" s="83" t="inlineStr">
        <is>
          <t>Guararema</t>
        </is>
      </c>
      <c r="C12" s="96" t="n">
        <v>320997.92</v>
      </c>
      <c r="D12" s="96">
        <f>$C12*('Projeção Receita'!E5/'Projeção Receita'!$D$5)</f>
        <v/>
      </c>
      <c r="E12" s="96">
        <f>$C12*('Projeção Receita'!F5/'Projeção Receita'!$D$5)</f>
        <v/>
      </c>
      <c r="F12" s="96">
        <f>$C12*('Projeção Receita'!G5/'Projeção Receita'!$D$5)</f>
        <v/>
      </c>
      <c r="G12" s="96">
        <f>$C12*('Projeção Receita'!H5/'Projeção Receita'!$D$5)</f>
        <v/>
      </c>
      <c r="H12" s="96">
        <f>$C12*('Projeção Receita'!I5/'Projeção Receita'!$D$5)</f>
        <v/>
      </c>
      <c r="I12" s="111">
        <f>I12/C12</f>
        <v/>
      </c>
    </row>
    <row r="13">
      <c r="A13" s="83" t="inlineStr">
        <is>
          <t>SP</t>
        </is>
      </c>
      <c r="B13" s="83" t="inlineStr">
        <is>
          <t>Campinas</t>
        </is>
      </c>
      <c r="C13" s="96" t="n">
        <v>303816.18</v>
      </c>
      <c r="D13" s="96">
        <f>$C13*('Projeção Receita'!E5/'Projeção Receita'!$D$5)</f>
        <v/>
      </c>
      <c r="E13" s="96">
        <f>$C13*('Projeção Receita'!F5/'Projeção Receita'!$D$5)</f>
        <v/>
      </c>
      <c r="F13" s="96">
        <f>$C13*('Projeção Receita'!G5/'Projeção Receita'!$D$5)</f>
        <v/>
      </c>
      <c r="G13" s="96">
        <f>$C13*('Projeção Receita'!H5/'Projeção Receita'!$D$5)</f>
        <v/>
      </c>
      <c r="H13" s="96">
        <f>$C13*('Projeção Receita'!I5/'Projeção Receita'!$D$5)</f>
        <v/>
      </c>
      <c r="I13" s="111">
        <f>I13/C13</f>
        <v/>
      </c>
    </row>
    <row r="14">
      <c r="A14" s="83" t="inlineStr">
        <is>
          <t>SP</t>
        </is>
      </c>
      <c r="B14" s="83" t="inlineStr">
        <is>
          <t>Santa Cruz Do Rio Pardo</t>
        </is>
      </c>
      <c r="C14" s="96" t="n">
        <v>299135.64</v>
      </c>
      <c r="D14" s="96">
        <f>$C14*('Projeção Receita'!E5/'Projeção Receita'!$D$5)</f>
        <v/>
      </c>
      <c r="E14" s="96">
        <f>$C14*('Projeção Receita'!F5/'Projeção Receita'!$D$5)</f>
        <v/>
      </c>
      <c r="F14" s="96">
        <f>$C14*('Projeção Receita'!G5/'Projeção Receita'!$D$5)</f>
        <v/>
      </c>
      <c r="G14" s="96">
        <f>$C14*('Projeção Receita'!H5/'Projeção Receita'!$D$5)</f>
        <v/>
      </c>
      <c r="H14" s="96">
        <f>$C14*('Projeção Receita'!I5/'Projeção Receita'!$D$5)</f>
        <v/>
      </c>
      <c r="I14" s="111">
        <f>I14/C14</f>
        <v/>
      </c>
    </row>
    <row r="15">
      <c r="A15" s="83" t="inlineStr">
        <is>
          <t>SP</t>
        </is>
      </c>
      <c r="B15" s="83" t="inlineStr">
        <is>
          <t>Limeira</t>
        </is>
      </c>
      <c r="C15" s="96" t="n">
        <v>281583</v>
      </c>
      <c r="D15" s="96">
        <f>$C15*('Projeção Receita'!E5/'Projeção Receita'!$D$5)</f>
        <v/>
      </c>
      <c r="E15" s="96">
        <f>$C15*('Projeção Receita'!F5/'Projeção Receita'!$D$5)</f>
        <v/>
      </c>
      <c r="F15" s="96">
        <f>$C15*('Projeção Receita'!G5/'Projeção Receita'!$D$5)</f>
        <v/>
      </c>
      <c r="G15" s="96">
        <f>$C15*('Projeção Receita'!H5/'Projeção Receita'!$D$5)</f>
        <v/>
      </c>
      <c r="H15" s="96">
        <f>$C15*('Projeção Receita'!I5/'Projeção Receita'!$D$5)</f>
        <v/>
      </c>
      <c r="I15" s="111">
        <f>I15/C15</f>
        <v/>
      </c>
    </row>
    <row r="16">
      <c r="A16" s="83" t="inlineStr">
        <is>
          <t>SP</t>
        </is>
      </c>
      <c r="B16" s="83" t="inlineStr">
        <is>
          <t>Queluz</t>
        </is>
      </c>
      <c r="C16" s="96" t="n">
        <v>269053.01</v>
      </c>
      <c r="D16" s="96">
        <f>$C16*('Projeção Receita'!E5/'Projeção Receita'!$D$5)</f>
        <v/>
      </c>
      <c r="E16" s="96">
        <f>$C16*('Projeção Receita'!F5/'Projeção Receita'!$D$5)</f>
        <v/>
      </c>
      <c r="F16" s="96">
        <f>$C16*('Projeção Receita'!G5/'Projeção Receita'!$D$5)</f>
        <v/>
      </c>
      <c r="G16" s="96">
        <f>$C16*('Projeção Receita'!H5/'Projeção Receita'!$D$5)</f>
        <v/>
      </c>
      <c r="H16" s="96">
        <f>$C16*('Projeção Receita'!I5/'Projeção Receita'!$D$5)</f>
        <v/>
      </c>
      <c r="I16" s="111">
        <f>I16/C16</f>
        <v/>
      </c>
    </row>
    <row r="17">
      <c r="A17" s="83" t="inlineStr">
        <is>
          <t>SP</t>
        </is>
      </c>
      <c r="B17" s="83" t="inlineStr">
        <is>
          <t>Guaratingueta</t>
        </is>
      </c>
      <c r="C17" s="96" t="n">
        <v>233422.16</v>
      </c>
      <c r="D17" s="96">
        <f>$C17*('Projeção Receita'!E5/'Projeção Receita'!$D$5)</f>
        <v/>
      </c>
      <c r="E17" s="96">
        <f>$C17*('Projeção Receita'!F5/'Projeção Receita'!$D$5)</f>
        <v/>
      </c>
      <c r="F17" s="96">
        <f>$C17*('Projeção Receita'!G5/'Projeção Receita'!$D$5)</f>
        <v/>
      </c>
      <c r="G17" s="96">
        <f>$C17*('Projeção Receita'!H5/'Projeção Receita'!$D$5)</f>
        <v/>
      </c>
      <c r="H17" s="96">
        <f>$C17*('Projeção Receita'!I5/'Projeção Receita'!$D$5)</f>
        <v/>
      </c>
      <c r="I17" s="111">
        <f>I17/C17</f>
        <v/>
      </c>
    </row>
    <row r="18">
      <c r="A18" s="83" t="inlineStr">
        <is>
          <t>SP</t>
        </is>
      </c>
      <c r="B18" s="83" t="inlineStr">
        <is>
          <t>Mairipora</t>
        </is>
      </c>
      <c r="C18" s="96" t="n">
        <v>188796.31</v>
      </c>
      <c r="D18" s="96">
        <f>$C18*('Projeção Receita'!E5/'Projeção Receita'!$D$5)</f>
        <v/>
      </c>
      <c r="E18" s="96">
        <f>$C18*('Projeção Receita'!F5/'Projeção Receita'!$D$5)</f>
        <v/>
      </c>
      <c r="F18" s="96">
        <f>$C18*('Projeção Receita'!G5/'Projeção Receita'!$D$5)</f>
        <v/>
      </c>
      <c r="G18" s="96">
        <f>$C18*('Projeção Receita'!H5/'Projeção Receita'!$D$5)</f>
        <v/>
      </c>
      <c r="H18" s="96">
        <f>$C18*('Projeção Receita'!I5/'Projeção Receita'!$D$5)</f>
        <v/>
      </c>
      <c r="I18" s="111">
        <f>I18/C18</f>
        <v/>
      </c>
    </row>
    <row r="19">
      <c r="A19" s="83" t="inlineStr">
        <is>
          <t>SP</t>
        </is>
      </c>
      <c r="B19" s="83" t="inlineStr">
        <is>
          <t>Registro</t>
        </is>
      </c>
      <c r="C19" s="96" t="n">
        <v>183827.05</v>
      </c>
      <c r="D19" s="96">
        <f>$C19*('Projeção Receita'!E5/'Projeção Receita'!$D$5)</f>
        <v/>
      </c>
      <c r="E19" s="96">
        <f>$C19*('Projeção Receita'!F5/'Projeção Receita'!$D$5)</f>
        <v/>
      </c>
      <c r="F19" s="96">
        <f>$C19*('Projeção Receita'!G5/'Projeção Receita'!$D$5)</f>
        <v/>
      </c>
      <c r="G19" s="96">
        <f>$C19*('Projeção Receita'!H5/'Projeção Receita'!$D$5)</f>
        <v/>
      </c>
      <c r="H19" s="96">
        <f>$C19*('Projeção Receita'!I5/'Projeção Receita'!$D$5)</f>
        <v/>
      </c>
      <c r="I19" s="111">
        <f>I19/C19</f>
        <v/>
      </c>
    </row>
    <row r="20">
      <c r="A20" s="83" t="inlineStr">
        <is>
          <t>SP</t>
        </is>
      </c>
      <c r="B20" s="83" t="inlineStr">
        <is>
          <t>Pindamonhangaba</t>
        </is>
      </c>
      <c r="C20" s="96" t="n">
        <v>176328.01</v>
      </c>
      <c r="D20" s="96">
        <f>$C20*('Projeção Receita'!E5/'Projeção Receita'!$D$5)</f>
        <v/>
      </c>
      <c r="E20" s="96">
        <f>$C20*('Projeção Receita'!F5/'Projeção Receita'!$D$5)</f>
        <v/>
      </c>
      <c r="F20" s="96">
        <f>$C20*('Projeção Receita'!G5/'Projeção Receita'!$D$5)</f>
        <v/>
      </c>
      <c r="G20" s="96">
        <f>$C20*('Projeção Receita'!H5/'Projeção Receita'!$D$5)</f>
        <v/>
      </c>
      <c r="H20" s="96">
        <f>$C20*('Projeção Receita'!I5/'Projeção Receita'!$D$5)</f>
        <v/>
      </c>
      <c r="I20" s="111">
        <f>I20/C20</f>
        <v/>
      </c>
    </row>
    <row r="21">
      <c r="A21" s="83" t="inlineStr">
        <is>
          <t>SP</t>
        </is>
      </c>
      <c r="B21" s="83" t="inlineStr">
        <is>
          <t>Pariquera-Acu</t>
        </is>
      </c>
      <c r="C21" s="96" t="n">
        <v>176318.36</v>
      </c>
      <c r="D21" s="96">
        <f>$C21*('Projeção Receita'!E5/'Projeção Receita'!$D$5)</f>
        <v/>
      </c>
      <c r="E21" s="96">
        <f>$C21*('Projeção Receita'!F5/'Projeção Receita'!$D$5)</f>
        <v/>
      </c>
      <c r="F21" s="96">
        <f>$C21*('Projeção Receita'!G5/'Projeção Receita'!$D$5)</f>
        <v/>
      </c>
      <c r="G21" s="96">
        <f>$C21*('Projeção Receita'!H5/'Projeção Receita'!$D$5)</f>
        <v/>
      </c>
      <c r="H21" s="96">
        <f>$C21*('Projeção Receita'!I5/'Projeção Receita'!$D$5)</f>
        <v/>
      </c>
      <c r="I21" s="111">
        <f>I21/C21</f>
        <v/>
      </c>
    </row>
    <row r="22">
      <c r="A22" s="83" t="inlineStr">
        <is>
          <t>SP</t>
        </is>
      </c>
      <c r="B22" s="83" t="inlineStr">
        <is>
          <t>Jandira</t>
        </is>
      </c>
      <c r="C22" s="96" t="n">
        <v>166213.13</v>
      </c>
      <c r="D22" s="96">
        <f>$C22*('Projeção Receita'!E5/'Projeção Receita'!$D$5)</f>
        <v/>
      </c>
      <c r="E22" s="96">
        <f>$C22*('Projeção Receita'!F5/'Projeção Receita'!$D$5)</f>
        <v/>
      </c>
      <c r="F22" s="96">
        <f>$C22*('Projeção Receita'!G5/'Projeção Receita'!$D$5)</f>
        <v/>
      </c>
      <c r="G22" s="96">
        <f>$C22*('Projeção Receita'!H5/'Projeção Receita'!$D$5)</f>
        <v/>
      </c>
      <c r="H22" s="96">
        <f>$C22*('Projeção Receita'!I5/'Projeção Receita'!$D$5)</f>
        <v/>
      </c>
      <c r="I22" s="111">
        <f>I22/C22</f>
        <v/>
      </c>
    </row>
    <row r="23">
      <c r="A23" s="83" t="inlineStr">
        <is>
          <t>SP</t>
        </is>
      </c>
      <c r="B23" s="83" t="inlineStr">
        <is>
          <t>Ribeirao Preto</t>
        </is>
      </c>
      <c r="C23" s="96" t="n">
        <v>158227.72</v>
      </c>
      <c r="D23" s="96">
        <f>$C23*('Projeção Receita'!E5/'Projeção Receita'!$D$5)</f>
        <v/>
      </c>
      <c r="E23" s="96">
        <f>$C23*('Projeção Receita'!F5/'Projeção Receita'!$D$5)</f>
        <v/>
      </c>
      <c r="F23" s="96">
        <f>$C23*('Projeção Receita'!G5/'Projeção Receita'!$D$5)</f>
        <v/>
      </c>
      <c r="G23" s="96">
        <f>$C23*('Projeção Receita'!H5/'Projeção Receita'!$D$5)</f>
        <v/>
      </c>
      <c r="H23" s="96">
        <f>$C23*('Projeção Receita'!I5/'Projeção Receita'!$D$5)</f>
        <v/>
      </c>
      <c r="I23" s="111">
        <f>I23/C23</f>
        <v/>
      </c>
    </row>
    <row r="24">
      <c r="A24" s="83" t="inlineStr">
        <is>
          <t>SP</t>
        </is>
      </c>
      <c r="B24" s="83" t="inlineStr">
        <is>
          <t>Pirassununga</t>
        </is>
      </c>
      <c r="C24" s="96" t="n">
        <v>154951.38</v>
      </c>
      <c r="D24" s="96">
        <f>$C24*('Projeção Receita'!E5/'Projeção Receita'!$D$5)</f>
        <v/>
      </c>
      <c r="E24" s="96">
        <f>$C24*('Projeção Receita'!F5/'Projeção Receita'!$D$5)</f>
        <v/>
      </c>
      <c r="F24" s="96">
        <f>$C24*('Projeção Receita'!G5/'Projeção Receita'!$D$5)</f>
        <v/>
      </c>
      <c r="G24" s="96">
        <f>$C24*('Projeção Receita'!H5/'Projeção Receita'!$D$5)</f>
        <v/>
      </c>
      <c r="H24" s="96">
        <f>$C24*('Projeção Receita'!I5/'Projeção Receita'!$D$5)</f>
        <v/>
      </c>
      <c r="I24" s="111">
        <f>I24/C24</f>
        <v/>
      </c>
    </row>
    <row r="25">
      <c r="A25" s="83" t="inlineStr">
        <is>
          <t>SP</t>
        </is>
      </c>
      <c r="B25" s="83" t="inlineStr">
        <is>
          <t>Cordeiropolis</t>
        </is>
      </c>
      <c r="C25" s="96" t="n">
        <v>152347.68</v>
      </c>
      <c r="D25" s="96">
        <f>$C25*('Projeção Receita'!E5/'Projeção Receita'!$D$5)</f>
        <v/>
      </c>
      <c r="E25" s="96">
        <f>$C25*('Projeção Receita'!F5/'Projeção Receita'!$D$5)</f>
        <v/>
      </c>
      <c r="F25" s="96">
        <f>$C25*('Projeção Receita'!G5/'Projeção Receita'!$D$5)</f>
        <v/>
      </c>
      <c r="G25" s="96">
        <f>$C25*('Projeção Receita'!H5/'Projeção Receita'!$D$5)</f>
        <v/>
      </c>
      <c r="H25" s="96">
        <f>$C25*('Projeção Receita'!I5/'Projeção Receita'!$D$5)</f>
        <v/>
      </c>
      <c r="I25" s="111">
        <f>I25/C25</f>
        <v/>
      </c>
    </row>
    <row r="26">
      <c r="A26" s="83" t="inlineStr">
        <is>
          <t>SP</t>
        </is>
      </c>
      <c r="B26" s="83" t="inlineStr">
        <is>
          <t>Pardinho</t>
        </is>
      </c>
      <c r="C26" s="96" t="n">
        <v>146586.38</v>
      </c>
      <c r="D26" s="96">
        <f>$C26*('Projeção Receita'!E5/'Projeção Receita'!$D$5)</f>
        <v/>
      </c>
      <c r="E26" s="96">
        <f>$C26*('Projeção Receita'!F5/'Projeção Receita'!$D$5)</f>
        <v/>
      </c>
      <c r="F26" s="96">
        <f>$C26*('Projeção Receita'!G5/'Projeção Receita'!$D$5)</f>
        <v/>
      </c>
      <c r="G26" s="96">
        <f>$C26*('Projeção Receita'!H5/'Projeção Receita'!$D$5)</f>
        <v/>
      </c>
      <c r="H26" s="96">
        <f>$C26*('Projeção Receita'!I5/'Projeção Receita'!$D$5)</f>
        <v/>
      </c>
      <c r="I26" s="111">
        <f>I26/C26</f>
        <v/>
      </c>
    </row>
    <row r="27">
      <c r="A27" s="83" t="inlineStr">
        <is>
          <t>SP</t>
        </is>
      </c>
      <c r="B27" s="83" t="inlineStr">
        <is>
          <t>Guarulhos</t>
        </is>
      </c>
      <c r="C27" s="96" t="n">
        <v>140336.53</v>
      </c>
      <c r="D27" s="96">
        <f>$C27*('Projeção Receita'!E5/'Projeção Receita'!$D$5)</f>
        <v/>
      </c>
      <c r="E27" s="96">
        <f>$C27*('Projeção Receita'!F5/'Projeção Receita'!$D$5)</f>
        <v/>
      </c>
      <c r="F27" s="96">
        <f>$C27*('Projeção Receita'!G5/'Projeção Receita'!$D$5)</f>
        <v/>
      </c>
      <c r="G27" s="96">
        <f>$C27*('Projeção Receita'!H5/'Projeção Receita'!$D$5)</f>
        <v/>
      </c>
      <c r="H27" s="96">
        <f>$C27*('Projeção Receita'!I5/'Projeção Receita'!$D$5)</f>
        <v/>
      </c>
      <c r="I27" s="111">
        <f>I27/C27</f>
        <v/>
      </c>
    </row>
    <row r="28">
      <c r="A28" s="83" t="inlineStr">
        <is>
          <t>SP</t>
        </is>
      </c>
      <c r="B28" s="83" t="inlineStr">
        <is>
          <t>Miracatu</t>
        </is>
      </c>
      <c r="C28" s="96" t="n">
        <v>131830.06</v>
      </c>
      <c r="D28" s="96">
        <f>$C28*('Projeção Receita'!E5/'Projeção Receita'!$D$5)</f>
        <v/>
      </c>
      <c r="E28" s="96">
        <f>$C28*('Projeção Receita'!F5/'Projeção Receita'!$D$5)</f>
        <v/>
      </c>
      <c r="F28" s="96">
        <f>$C28*('Projeção Receita'!G5/'Projeção Receita'!$D$5)</f>
        <v/>
      </c>
      <c r="G28" s="96">
        <f>$C28*('Projeção Receita'!H5/'Projeção Receita'!$D$5)</f>
        <v/>
      </c>
      <c r="H28" s="96">
        <f>$C28*('Projeção Receita'!I5/'Projeção Receita'!$D$5)</f>
        <v/>
      </c>
      <c r="I28" s="111">
        <f>I28/C28</f>
        <v/>
      </c>
    </row>
    <row r="29">
      <c r="A29" s="83" t="inlineStr">
        <is>
          <t>SP</t>
        </is>
      </c>
      <c r="B29" s="83" t="inlineStr">
        <is>
          <t>Jarinu</t>
        </is>
      </c>
      <c r="C29" s="96" t="n">
        <v>130292.6</v>
      </c>
      <c r="D29" s="96">
        <f>$C29*('Projeção Receita'!E5/'Projeção Receita'!$D$5)</f>
        <v/>
      </c>
      <c r="E29" s="96">
        <f>$C29*('Projeção Receita'!F5/'Projeção Receita'!$D$5)</f>
        <v/>
      </c>
      <c r="F29" s="96">
        <f>$C29*('Projeção Receita'!G5/'Projeção Receita'!$D$5)</f>
        <v/>
      </c>
      <c r="G29" s="96">
        <f>$C29*('Projeção Receita'!H5/'Projeção Receita'!$D$5)</f>
        <v/>
      </c>
      <c r="H29" s="96">
        <f>$C29*('Projeção Receita'!I5/'Projeção Receita'!$D$5)</f>
        <v/>
      </c>
      <c r="I29" s="111">
        <f>I29/C29</f>
        <v/>
      </c>
    </row>
    <row r="30">
      <c r="A30" s="83" t="inlineStr">
        <is>
          <t>SP</t>
        </is>
      </c>
      <c r="B30" s="83" t="inlineStr">
        <is>
          <t>Aracariguama</t>
        </is>
      </c>
      <c r="C30" s="96" t="n">
        <v>113363.56</v>
      </c>
      <c r="D30" s="96">
        <f>$C30*('Projeção Receita'!E5/'Projeção Receita'!$D$5)</f>
        <v/>
      </c>
      <c r="E30" s="96">
        <f>$C30*('Projeção Receita'!F5/'Projeção Receita'!$D$5)</f>
        <v/>
      </c>
      <c r="F30" s="96">
        <f>$C30*('Projeção Receita'!G5/'Projeção Receita'!$D$5)</f>
        <v/>
      </c>
      <c r="G30" s="96">
        <f>$C30*('Projeção Receita'!H5/'Projeção Receita'!$D$5)</f>
        <v/>
      </c>
      <c r="H30" s="96">
        <f>$C30*('Projeção Receita'!I5/'Projeção Receita'!$D$5)</f>
        <v/>
      </c>
      <c r="I30" s="111">
        <f>I30/C30</f>
        <v/>
      </c>
    </row>
    <row r="31">
      <c r="A31" s="83" t="inlineStr">
        <is>
          <t>SP</t>
        </is>
      </c>
      <c r="B31" s="83" t="inlineStr">
        <is>
          <t>Bauru</t>
        </is>
      </c>
      <c r="C31" s="96" t="n">
        <v>96658.13</v>
      </c>
      <c r="D31" s="96">
        <f>$C31*('Projeção Receita'!E5/'Projeção Receita'!$D$5)</f>
        <v/>
      </c>
      <c r="E31" s="96">
        <f>$C31*('Projeção Receita'!F5/'Projeção Receita'!$D$5)</f>
        <v/>
      </c>
      <c r="F31" s="96">
        <f>$C31*('Projeção Receita'!G5/'Projeção Receita'!$D$5)</f>
        <v/>
      </c>
      <c r="G31" s="96">
        <f>$C31*('Projeção Receita'!H5/'Projeção Receita'!$D$5)</f>
        <v/>
      </c>
      <c r="H31" s="96">
        <f>$C31*('Projeção Receita'!I5/'Projeção Receita'!$D$5)</f>
        <v/>
      </c>
      <c r="I31" s="111">
        <f>I31/C31</f>
        <v/>
      </c>
    </row>
    <row r="32">
      <c r="A32" s="83" t="inlineStr">
        <is>
          <t>SP</t>
        </is>
      </c>
      <c r="B32" s="83" t="inlineStr">
        <is>
          <t>Itatiba</t>
        </is>
      </c>
      <c r="C32" s="96" t="n">
        <v>87081.60000000001</v>
      </c>
      <c r="D32" s="96">
        <f>$C32*('Projeção Receita'!E5/'Projeção Receita'!$D$5)</f>
        <v/>
      </c>
      <c r="E32" s="96">
        <f>$C32*('Projeção Receita'!F5/'Projeção Receita'!$D$5)</f>
        <v/>
      </c>
      <c r="F32" s="96">
        <f>$C32*('Projeção Receita'!G5/'Projeção Receita'!$D$5)</f>
        <v/>
      </c>
      <c r="G32" s="96">
        <f>$C32*('Projeção Receita'!H5/'Projeção Receita'!$D$5)</f>
        <v/>
      </c>
      <c r="H32" s="96">
        <f>$C32*('Projeção Receita'!I5/'Projeção Receita'!$D$5)</f>
        <v/>
      </c>
      <c r="I32" s="111">
        <f>I32/C32</f>
        <v/>
      </c>
    </row>
    <row r="33">
      <c r="A33" s="83" t="inlineStr">
        <is>
          <t>SP</t>
        </is>
      </c>
      <c r="B33" s="83" t="inlineStr">
        <is>
          <t>Itupeva</t>
        </is>
      </c>
      <c r="C33" s="96" t="n">
        <v>86643.7</v>
      </c>
      <c r="D33" s="96">
        <f>$C33*('Projeção Receita'!E5/'Projeção Receita'!$D$5)</f>
        <v/>
      </c>
      <c r="E33" s="96">
        <f>$C33*('Projeção Receita'!F5/'Projeção Receita'!$D$5)</f>
        <v/>
      </c>
      <c r="F33" s="96">
        <f>$C33*('Projeção Receita'!G5/'Projeção Receita'!$D$5)</f>
        <v/>
      </c>
      <c r="G33" s="96">
        <f>$C33*('Projeção Receita'!H5/'Projeção Receita'!$D$5)</f>
        <v/>
      </c>
      <c r="H33" s="96">
        <f>$C33*('Projeção Receita'!I5/'Projeção Receita'!$D$5)</f>
        <v/>
      </c>
      <c r="I33" s="111">
        <f>I33/C33</f>
        <v/>
      </c>
    </row>
    <row r="34">
      <c r="A34" s="83" t="inlineStr">
        <is>
          <t>SP</t>
        </is>
      </c>
      <c r="B34" s="83" t="inlineStr">
        <is>
          <t>Santo Andre</t>
        </is>
      </c>
      <c r="C34" s="96" t="n">
        <v>83026.06</v>
      </c>
      <c r="D34" s="96">
        <f>$C34*('Projeção Receita'!E5/'Projeção Receita'!$D$5)</f>
        <v/>
      </c>
      <c r="E34" s="96">
        <f>$C34*('Projeção Receita'!F5/'Projeção Receita'!$D$5)</f>
        <v/>
      </c>
      <c r="F34" s="96">
        <f>$C34*('Projeção Receita'!G5/'Projeção Receita'!$D$5)</f>
        <v/>
      </c>
      <c r="G34" s="96">
        <f>$C34*('Projeção Receita'!H5/'Projeção Receita'!$D$5)</f>
        <v/>
      </c>
      <c r="H34" s="96">
        <f>$C34*('Projeção Receita'!I5/'Projeção Receita'!$D$5)</f>
        <v/>
      </c>
      <c r="I34" s="111">
        <f>I34/C34</f>
        <v/>
      </c>
    </row>
    <row r="35">
      <c r="A35" s="83" t="inlineStr">
        <is>
          <t>SP</t>
        </is>
      </c>
      <c r="B35" s="83" t="inlineStr">
        <is>
          <t>Iaras</t>
        </is>
      </c>
      <c r="C35" s="96" t="n">
        <v>64796.89</v>
      </c>
      <c r="D35" s="96">
        <f>$C35*('Projeção Receita'!E5/'Projeção Receita'!$D$5)</f>
        <v/>
      </c>
      <c r="E35" s="96">
        <f>$C35*('Projeção Receita'!F5/'Projeção Receita'!$D$5)</f>
        <v/>
      </c>
      <c r="F35" s="96">
        <f>$C35*('Projeção Receita'!G5/'Projeção Receita'!$D$5)</f>
        <v/>
      </c>
      <c r="G35" s="96">
        <f>$C35*('Projeção Receita'!H5/'Projeção Receita'!$D$5)</f>
        <v/>
      </c>
      <c r="H35" s="96">
        <f>$C35*('Projeção Receita'!I5/'Projeção Receita'!$D$5)</f>
        <v/>
      </c>
      <c r="I35" s="111">
        <f>I35/C35</f>
        <v/>
      </c>
    </row>
    <row r="36">
      <c r="A36" s="83" t="inlineStr">
        <is>
          <t>SP</t>
        </is>
      </c>
      <c r="B36" s="83" t="inlineStr">
        <is>
          <t>Guaruja</t>
        </is>
      </c>
      <c r="C36" s="96" t="n">
        <v>55019.8</v>
      </c>
      <c r="D36" s="96">
        <f>$C36*('Projeção Receita'!E5/'Projeção Receita'!$D$5)</f>
        <v/>
      </c>
      <c r="E36" s="96">
        <f>$C36*('Projeção Receita'!F5/'Projeção Receita'!$D$5)</f>
        <v/>
      </c>
      <c r="F36" s="96">
        <f>$C36*('Projeção Receita'!G5/'Projeção Receita'!$D$5)</f>
        <v/>
      </c>
      <c r="G36" s="96">
        <f>$C36*('Projeção Receita'!H5/'Projeção Receita'!$D$5)</f>
        <v/>
      </c>
      <c r="H36" s="96">
        <f>$C36*('Projeção Receita'!I5/'Projeção Receita'!$D$5)</f>
        <v/>
      </c>
      <c r="I36" s="111">
        <f>I36/C36</f>
        <v/>
      </c>
    </row>
    <row r="37">
      <c r="A37" s="83" t="inlineStr">
        <is>
          <t>SP</t>
        </is>
      </c>
      <c r="B37" s="83" t="inlineStr">
        <is>
          <t>Osasco</t>
        </is>
      </c>
      <c r="C37" s="96" t="n">
        <v>54495.86</v>
      </c>
      <c r="D37" s="96">
        <f>$C37*('Projeção Receita'!E5/'Projeção Receita'!$D$5)</f>
        <v/>
      </c>
      <c r="E37" s="96">
        <f>$C37*('Projeção Receita'!F5/'Projeção Receita'!$D$5)</f>
        <v/>
      </c>
      <c r="F37" s="96">
        <f>$C37*('Projeção Receita'!G5/'Projeção Receita'!$D$5)</f>
        <v/>
      </c>
      <c r="G37" s="96">
        <f>$C37*('Projeção Receita'!H5/'Projeção Receita'!$D$5)</f>
        <v/>
      </c>
      <c r="H37" s="96">
        <f>$C37*('Projeção Receita'!I5/'Projeção Receita'!$D$5)</f>
        <v/>
      </c>
      <c r="I37" s="111">
        <f>I37/C37</f>
        <v/>
      </c>
    </row>
    <row r="38">
      <c r="A38" s="83" t="inlineStr">
        <is>
          <t>SP</t>
        </is>
      </c>
      <c r="B38" s="83" t="inlineStr">
        <is>
          <t>Ilhabela</t>
        </is>
      </c>
      <c r="C38" s="96" t="n">
        <v>46931.9</v>
      </c>
      <c r="D38" s="96">
        <f>$C38*('Projeção Receita'!E5/'Projeção Receita'!$D$5)</f>
        <v/>
      </c>
      <c r="E38" s="96">
        <f>$C38*('Projeção Receita'!F5/'Projeção Receita'!$D$5)</f>
        <v/>
      </c>
      <c r="F38" s="96">
        <f>$C38*('Projeção Receita'!G5/'Projeção Receita'!$D$5)</f>
        <v/>
      </c>
      <c r="G38" s="96">
        <f>$C38*('Projeção Receita'!H5/'Projeção Receita'!$D$5)</f>
        <v/>
      </c>
      <c r="H38" s="96">
        <f>$C38*('Projeção Receita'!I5/'Projeção Receita'!$D$5)</f>
        <v/>
      </c>
      <c r="I38" s="111">
        <f>I38/C38</f>
        <v/>
      </c>
    </row>
    <row r="39">
      <c r="A39" s="83" t="inlineStr">
        <is>
          <t>SP</t>
        </is>
      </c>
      <c r="B39" s="83" t="inlineStr">
        <is>
          <t>Cotia</t>
        </is>
      </c>
      <c r="C39" s="96" t="n">
        <v>45658.32</v>
      </c>
      <c r="D39" s="96">
        <f>$C39*('Projeção Receita'!E5/'Projeção Receita'!$D$5)</f>
        <v/>
      </c>
      <c r="E39" s="96">
        <f>$C39*('Projeção Receita'!F5/'Projeção Receita'!$D$5)</f>
        <v/>
      </c>
      <c r="F39" s="96">
        <f>$C39*('Projeção Receita'!G5/'Projeção Receita'!$D$5)</f>
        <v/>
      </c>
      <c r="G39" s="96">
        <f>$C39*('Projeção Receita'!H5/'Projeção Receita'!$D$5)</f>
        <v/>
      </c>
      <c r="H39" s="96">
        <f>$C39*('Projeção Receita'!I5/'Projeção Receita'!$D$5)</f>
        <v/>
      </c>
      <c r="I39" s="111">
        <f>I39/C39</f>
        <v/>
      </c>
    </row>
    <row r="40">
      <c r="A40" s="83" t="inlineStr">
        <is>
          <t>SP</t>
        </is>
      </c>
      <c r="B40" s="83" t="inlineStr">
        <is>
          <t>Ourinhos</t>
        </is>
      </c>
      <c r="C40" s="96" t="n">
        <v>44680.2</v>
      </c>
      <c r="D40" s="96">
        <f>$C40*('Projeção Receita'!E5/'Projeção Receita'!$D$5)</f>
        <v/>
      </c>
      <c r="E40" s="96">
        <f>$C40*('Projeção Receita'!F5/'Projeção Receita'!$D$5)</f>
        <v/>
      </c>
      <c r="F40" s="96">
        <f>$C40*('Projeção Receita'!G5/'Projeção Receita'!$D$5)</f>
        <v/>
      </c>
      <c r="G40" s="96">
        <f>$C40*('Projeção Receita'!H5/'Projeção Receita'!$D$5)</f>
        <v/>
      </c>
      <c r="H40" s="96">
        <f>$C40*('Projeção Receita'!I5/'Projeção Receita'!$D$5)</f>
        <v/>
      </c>
      <c r="I40" s="111">
        <f>I40/C40</f>
        <v/>
      </c>
    </row>
    <row r="41">
      <c r="A41" s="83" t="inlineStr">
        <is>
          <t>SP</t>
        </is>
      </c>
      <c r="B41" s="83" t="inlineStr">
        <is>
          <t>Braganca Paulista</t>
        </is>
      </c>
      <c r="C41" s="96" t="n">
        <v>40841.12</v>
      </c>
      <c r="D41" s="96">
        <f>$C41*('Projeção Receita'!E5/'Projeção Receita'!$D$5)</f>
        <v/>
      </c>
      <c r="E41" s="96">
        <f>$C41*('Projeção Receita'!F5/'Projeção Receita'!$D$5)</f>
        <v/>
      </c>
      <c r="F41" s="96">
        <f>$C41*('Projeção Receita'!G5/'Projeção Receita'!$D$5)</f>
        <v/>
      </c>
      <c r="G41" s="96">
        <f>$C41*('Projeção Receita'!H5/'Projeção Receita'!$D$5)</f>
        <v/>
      </c>
      <c r="H41" s="96">
        <f>$C41*('Projeção Receita'!I5/'Projeção Receita'!$D$5)</f>
        <v/>
      </c>
      <c r="I41" s="111">
        <f>I41/C41</f>
        <v/>
      </c>
    </row>
    <row r="42">
      <c r="A42" s="83" t="inlineStr">
        <is>
          <t>SP</t>
        </is>
      </c>
      <c r="B42" s="83" t="inlineStr">
        <is>
          <t>Aparecida</t>
        </is>
      </c>
      <c r="C42" s="96" t="n">
        <v>38814</v>
      </c>
      <c r="D42" s="96">
        <f>$C42*('Projeção Receita'!E5/'Projeção Receita'!$D$5)</f>
        <v/>
      </c>
      <c r="E42" s="96">
        <f>$C42*('Projeção Receita'!F5/'Projeção Receita'!$D$5)</f>
        <v/>
      </c>
      <c r="F42" s="96">
        <f>$C42*('Projeção Receita'!G5/'Projeção Receita'!$D$5)</f>
        <v/>
      </c>
      <c r="G42" s="96">
        <f>$C42*('Projeção Receita'!H5/'Projeção Receita'!$D$5)</f>
        <v/>
      </c>
      <c r="H42" s="96">
        <f>$C42*('Projeção Receita'!I5/'Projeção Receita'!$D$5)</f>
        <v/>
      </c>
      <c r="I42" s="111">
        <f>I42/C42</f>
        <v/>
      </c>
    </row>
    <row r="43">
      <c r="A43" s="83" t="inlineStr">
        <is>
          <t>SP</t>
        </is>
      </c>
      <c r="B43" s="83" t="inlineStr">
        <is>
          <t>Paranapanema</t>
        </is>
      </c>
      <c r="C43" s="96" t="n">
        <v>31800.02</v>
      </c>
      <c r="D43" s="96">
        <f>$C43*('Projeção Receita'!E5/'Projeção Receita'!$D$5)</f>
        <v/>
      </c>
      <c r="E43" s="96">
        <f>$C43*('Projeção Receita'!F5/'Projeção Receita'!$D$5)</f>
        <v/>
      </c>
      <c r="F43" s="96">
        <f>$C43*('Projeção Receita'!G5/'Projeção Receita'!$D$5)</f>
        <v/>
      </c>
      <c r="G43" s="96">
        <f>$C43*('Projeção Receita'!H5/'Projeção Receita'!$D$5)</f>
        <v/>
      </c>
      <c r="H43" s="96">
        <f>$C43*('Projeção Receita'!I5/'Projeção Receita'!$D$5)</f>
        <v/>
      </c>
      <c r="I43" s="111">
        <f>I43/C43</f>
        <v/>
      </c>
    </row>
    <row r="44">
      <c r="A44" s="83" t="inlineStr">
        <is>
          <t>SP</t>
        </is>
      </c>
      <c r="B44" s="83" t="inlineStr">
        <is>
          <t>Santana De Parnaiba</t>
        </is>
      </c>
      <c r="C44" s="96" t="n">
        <v>30699.9</v>
      </c>
      <c r="D44" s="96">
        <f>$C44*('Projeção Receita'!E5/'Projeção Receita'!$D$5)</f>
        <v/>
      </c>
      <c r="E44" s="96">
        <f>$C44*('Projeção Receita'!F5/'Projeção Receita'!$D$5)</f>
        <v/>
      </c>
      <c r="F44" s="96">
        <f>$C44*('Projeção Receita'!G5/'Projeção Receita'!$D$5)</f>
        <v/>
      </c>
      <c r="G44" s="96">
        <f>$C44*('Projeção Receita'!H5/'Projeção Receita'!$D$5)</f>
        <v/>
      </c>
      <c r="H44" s="96">
        <f>$C44*('Projeção Receita'!I5/'Projeção Receita'!$D$5)</f>
        <v/>
      </c>
      <c r="I44" s="111">
        <f>I44/C44</f>
        <v/>
      </c>
    </row>
    <row r="45">
      <c r="A45" s="83" t="inlineStr">
        <is>
          <t>SP</t>
        </is>
      </c>
      <c r="B45" s="112" t="inlineStr">
        <is>
          <t>Outras cidades do estado (residual)</t>
        </is>
      </c>
      <c r="C45" s="113">
        <f>C5-SUM(C6:C44)</f>
        <v/>
      </c>
      <c r="D45" s="113">
        <f>D5-SUM(D6:D44)</f>
        <v/>
      </c>
      <c r="E45" s="113">
        <f>E5-SUM(E6:E44)</f>
        <v/>
      </c>
      <c r="F45" s="113">
        <f>F5-SUM(F6:F44)</f>
        <v/>
      </c>
      <c r="G45" s="113">
        <f>G5-SUM(G6:G44)</f>
        <v/>
      </c>
      <c r="H45" s="113">
        <f>H5-SUM(H6:H44)</f>
        <v/>
      </c>
    </row>
    <row r="47">
      <c r="A47" s="108" t="inlineStr">
        <is>
          <t>RJ</t>
        </is>
      </c>
      <c r="B47" s="108" t="inlineStr">
        <is>
          <t>TOTAL RJ (B2B)</t>
        </is>
      </c>
      <c r="C47" s="109">
        <f>'Projeção Receita'!D7</f>
        <v/>
      </c>
      <c r="D47" s="109">
        <f>'Projeção Receita'!E7</f>
        <v/>
      </c>
      <c r="E47" s="109">
        <f>'Projeção Receita'!F7</f>
        <v/>
      </c>
      <c r="F47" s="109">
        <f>'Projeção Receita'!G7</f>
        <v/>
      </c>
      <c r="G47" s="109">
        <f>'Projeção Receita'!H7</f>
        <v/>
      </c>
      <c r="H47" s="109">
        <f>'Projeção Receita'!I7</f>
        <v/>
      </c>
      <c r="I47" s="110">
        <f>I47/C47</f>
        <v/>
      </c>
    </row>
    <row r="48">
      <c r="A48" s="83" t="inlineStr">
        <is>
          <t>RJ</t>
        </is>
      </c>
      <c r="B48" s="83" t="inlineStr">
        <is>
          <t>Rio De Janeiro</t>
        </is>
      </c>
      <c r="C48" s="96" t="n">
        <v>3201929.99</v>
      </c>
      <c r="D48" s="96">
        <f>$C48*('Projeção Receita'!E7/'Projeção Receita'!$D$7)</f>
        <v/>
      </c>
      <c r="E48" s="96">
        <f>$C48*('Projeção Receita'!F7/'Projeção Receita'!$D$7)</f>
        <v/>
      </c>
      <c r="F48" s="96">
        <f>$C48*('Projeção Receita'!G7/'Projeção Receita'!$D$7)</f>
        <v/>
      </c>
      <c r="G48" s="96">
        <f>$C48*('Projeção Receita'!H7/'Projeção Receita'!$D$7)</f>
        <v/>
      </c>
      <c r="H48" s="96">
        <f>$C48*('Projeção Receita'!I7/'Projeção Receita'!$D$7)</f>
        <v/>
      </c>
      <c r="I48" s="111">
        <f>I48/C48</f>
        <v/>
      </c>
    </row>
    <row r="49">
      <c r="A49" s="83" t="inlineStr">
        <is>
          <t>RJ</t>
        </is>
      </c>
      <c r="B49" s="83" t="inlineStr">
        <is>
          <t>Resende</t>
        </is>
      </c>
      <c r="C49" s="96" t="n">
        <v>231562.22</v>
      </c>
      <c r="D49" s="96">
        <f>$C49*('Projeção Receita'!E7/'Projeção Receita'!$D$7)</f>
        <v/>
      </c>
      <c r="E49" s="96">
        <f>$C49*('Projeção Receita'!F7/'Projeção Receita'!$D$7)</f>
        <v/>
      </c>
      <c r="F49" s="96">
        <f>$C49*('Projeção Receita'!G7/'Projeção Receita'!$D$7)</f>
        <v/>
      </c>
      <c r="G49" s="96">
        <f>$C49*('Projeção Receita'!H7/'Projeção Receita'!$D$7)</f>
        <v/>
      </c>
      <c r="H49" s="96">
        <f>$C49*('Projeção Receita'!I7/'Projeção Receita'!$D$7)</f>
        <v/>
      </c>
      <c r="I49" s="111">
        <f>I49/C49</f>
        <v/>
      </c>
    </row>
    <row r="50">
      <c r="A50" s="83" t="inlineStr">
        <is>
          <t>RJ</t>
        </is>
      </c>
      <c r="B50" s="83" t="inlineStr">
        <is>
          <t>Niteroi</t>
        </is>
      </c>
      <c r="C50" s="96" t="n">
        <v>200941.67</v>
      </c>
      <c r="D50" s="96">
        <f>$C50*('Projeção Receita'!E7/'Projeção Receita'!$D$7)</f>
        <v/>
      </c>
      <c r="E50" s="96">
        <f>$C50*('Projeção Receita'!F7/'Projeção Receita'!$D$7)</f>
        <v/>
      </c>
      <c r="F50" s="96">
        <f>$C50*('Projeção Receita'!G7/'Projeção Receita'!$D$7)</f>
        <v/>
      </c>
      <c r="G50" s="96">
        <f>$C50*('Projeção Receita'!H7/'Projeção Receita'!$D$7)</f>
        <v/>
      </c>
      <c r="H50" s="96">
        <f>$C50*('Projeção Receita'!I7/'Projeção Receita'!$D$7)</f>
        <v/>
      </c>
      <c r="I50" s="111">
        <f>I50/C50</f>
        <v/>
      </c>
    </row>
    <row r="51">
      <c r="A51" s="83" t="inlineStr">
        <is>
          <t>RJ</t>
        </is>
      </c>
      <c r="B51" s="83" t="inlineStr">
        <is>
          <t>Itatiaia</t>
        </is>
      </c>
      <c r="C51" s="96" t="n">
        <v>166658.64</v>
      </c>
      <c r="D51" s="96">
        <f>$C51*('Projeção Receita'!E7/'Projeção Receita'!$D$7)</f>
        <v/>
      </c>
      <c r="E51" s="96">
        <f>$C51*('Projeção Receita'!F7/'Projeção Receita'!$D$7)</f>
        <v/>
      </c>
      <c r="F51" s="96">
        <f>$C51*('Projeção Receita'!G7/'Projeção Receita'!$D$7)</f>
        <v/>
      </c>
      <c r="G51" s="96">
        <f>$C51*('Projeção Receita'!H7/'Projeção Receita'!$D$7)</f>
        <v/>
      </c>
      <c r="H51" s="96">
        <f>$C51*('Projeção Receita'!I7/'Projeção Receita'!$D$7)</f>
        <v/>
      </c>
      <c r="I51" s="111">
        <f>I51/C51</f>
        <v/>
      </c>
    </row>
    <row r="52">
      <c r="A52" s="83" t="inlineStr">
        <is>
          <t>RJ</t>
        </is>
      </c>
      <c r="B52" s="83" t="inlineStr">
        <is>
          <t>Rio Bonito</t>
        </is>
      </c>
      <c r="C52" s="96" t="n">
        <v>141086.34</v>
      </c>
      <c r="D52" s="96">
        <f>$C52*('Projeção Receita'!E7/'Projeção Receita'!$D$7)</f>
        <v/>
      </c>
      <c r="E52" s="96">
        <f>$C52*('Projeção Receita'!F7/'Projeção Receita'!$D$7)</f>
        <v/>
      </c>
      <c r="F52" s="96">
        <f>$C52*('Projeção Receita'!G7/'Projeção Receita'!$D$7)</f>
        <v/>
      </c>
      <c r="G52" s="96">
        <f>$C52*('Projeção Receita'!H7/'Projeção Receita'!$D$7)</f>
        <v/>
      </c>
      <c r="H52" s="96">
        <f>$C52*('Projeção Receita'!I7/'Projeção Receita'!$D$7)</f>
        <v/>
      </c>
      <c r="I52" s="111">
        <f>I52/C52</f>
        <v/>
      </c>
    </row>
    <row r="53">
      <c r="A53" s="83" t="inlineStr">
        <is>
          <t>RJ</t>
        </is>
      </c>
      <c r="B53" s="83" t="inlineStr">
        <is>
          <t>Nova Iguacu</t>
        </is>
      </c>
      <c r="C53" s="96" t="n">
        <v>96736.57000000001</v>
      </c>
      <c r="D53" s="96">
        <f>$C53*('Projeção Receita'!E7/'Projeção Receita'!$D$7)</f>
        <v/>
      </c>
      <c r="E53" s="96">
        <f>$C53*('Projeção Receita'!F7/'Projeção Receita'!$D$7)</f>
        <v/>
      </c>
      <c r="F53" s="96">
        <f>$C53*('Projeção Receita'!G7/'Projeção Receita'!$D$7)</f>
        <v/>
      </c>
      <c r="G53" s="96">
        <f>$C53*('Projeção Receita'!H7/'Projeção Receita'!$D$7)</f>
        <v/>
      </c>
      <c r="H53" s="96">
        <f>$C53*('Projeção Receita'!I7/'Projeção Receita'!$D$7)</f>
        <v/>
      </c>
      <c r="I53" s="111">
        <f>I53/C53</f>
        <v/>
      </c>
    </row>
    <row r="54">
      <c r="A54" s="83" t="inlineStr">
        <is>
          <t>RJ</t>
        </is>
      </c>
      <c r="B54" s="83" t="inlineStr">
        <is>
          <t>Paraty</t>
        </is>
      </c>
      <c r="C54" s="96" t="n">
        <v>88561.53999999999</v>
      </c>
      <c r="D54" s="96">
        <f>$C54*('Projeção Receita'!E7/'Projeção Receita'!$D$7)</f>
        <v/>
      </c>
      <c r="E54" s="96">
        <f>$C54*('Projeção Receita'!F7/'Projeção Receita'!$D$7)</f>
        <v/>
      </c>
      <c r="F54" s="96">
        <f>$C54*('Projeção Receita'!G7/'Projeção Receita'!$D$7)</f>
        <v/>
      </c>
      <c r="G54" s="96">
        <f>$C54*('Projeção Receita'!H7/'Projeção Receita'!$D$7)</f>
        <v/>
      </c>
      <c r="H54" s="96">
        <f>$C54*('Projeção Receita'!I7/'Projeção Receita'!$D$7)</f>
        <v/>
      </c>
      <c r="I54" s="111">
        <f>I54/C54</f>
        <v/>
      </c>
    </row>
    <row r="55">
      <c r="A55" s="83" t="inlineStr">
        <is>
          <t>RJ</t>
        </is>
      </c>
      <c r="B55" s="83" t="inlineStr">
        <is>
          <t>Campos Dos Goytacazes</t>
        </is>
      </c>
      <c r="C55" s="96" t="n">
        <v>73796.64</v>
      </c>
      <c r="D55" s="96">
        <f>$C55*('Projeção Receita'!E7/'Projeção Receita'!$D$7)</f>
        <v/>
      </c>
      <c r="E55" s="96">
        <f>$C55*('Projeção Receita'!F7/'Projeção Receita'!$D$7)</f>
        <v/>
      </c>
      <c r="F55" s="96">
        <f>$C55*('Projeção Receita'!G7/'Projeção Receita'!$D$7)</f>
        <v/>
      </c>
      <c r="G55" s="96">
        <f>$C55*('Projeção Receita'!H7/'Projeção Receita'!$D$7)</f>
        <v/>
      </c>
      <c r="H55" s="96">
        <f>$C55*('Projeção Receita'!I7/'Projeção Receita'!$D$7)</f>
        <v/>
      </c>
      <c r="I55" s="111">
        <f>I55/C55</f>
        <v/>
      </c>
    </row>
    <row r="56">
      <c r="A56" s="83" t="inlineStr">
        <is>
          <t>RJ</t>
        </is>
      </c>
      <c r="B56" s="83" t="inlineStr">
        <is>
          <t>Barra Do Pirai</t>
        </is>
      </c>
      <c r="C56" s="96" t="n">
        <v>40006.1</v>
      </c>
      <c r="D56" s="96">
        <f>$C56*('Projeção Receita'!E7/'Projeção Receita'!$D$7)</f>
        <v/>
      </c>
      <c r="E56" s="96">
        <f>$C56*('Projeção Receita'!F7/'Projeção Receita'!$D$7)</f>
        <v/>
      </c>
      <c r="F56" s="96">
        <f>$C56*('Projeção Receita'!G7/'Projeção Receita'!$D$7)</f>
        <v/>
      </c>
      <c r="G56" s="96">
        <f>$C56*('Projeção Receita'!H7/'Projeção Receita'!$D$7)</f>
        <v/>
      </c>
      <c r="H56" s="96">
        <f>$C56*('Projeção Receita'!I7/'Projeção Receita'!$D$7)</f>
        <v/>
      </c>
      <c r="I56" s="111">
        <f>I56/C56</f>
        <v/>
      </c>
    </row>
    <row r="57">
      <c r="A57" s="83" t="inlineStr">
        <is>
          <t>RJ</t>
        </is>
      </c>
      <c r="B57" s="112" t="inlineStr">
        <is>
          <t>Outras cidades do estado (residual)</t>
        </is>
      </c>
      <c r="C57" s="113">
        <f>C47-SUM(C48:C56)</f>
        <v/>
      </c>
      <c r="D57" s="113">
        <f>D47-SUM(D48:D56)</f>
        <v/>
      </c>
      <c r="E57" s="113">
        <f>E47-SUM(E48:E56)</f>
        <v/>
      </c>
      <c r="F57" s="113">
        <f>F47-SUM(F48:F56)</f>
        <v/>
      </c>
      <c r="G57" s="113">
        <f>G47-SUM(G48:G56)</f>
        <v/>
      </c>
      <c r="H57" s="113">
        <f>H47-SUM(H48:H56)</f>
        <v/>
      </c>
    </row>
    <row r="59">
      <c r="A59" s="108" t="inlineStr">
        <is>
          <t>MG</t>
        </is>
      </c>
      <c r="B59" s="108" t="inlineStr">
        <is>
          <t>TOTAL MG (B2B)</t>
        </is>
      </c>
      <c r="C59" s="109">
        <f>'Projeção Receita'!D17</f>
        <v/>
      </c>
      <c r="D59" s="109">
        <f>'Projeção Receita'!E17</f>
        <v/>
      </c>
      <c r="E59" s="109">
        <f>'Projeção Receita'!F17</f>
        <v/>
      </c>
      <c r="F59" s="109">
        <f>'Projeção Receita'!G17</f>
        <v/>
      </c>
      <c r="G59" s="109">
        <f>'Projeção Receita'!H17</f>
        <v/>
      </c>
      <c r="H59" s="109">
        <f>'Projeção Receita'!I17</f>
        <v/>
      </c>
      <c r="I59" s="110">
        <f>I59/C59</f>
        <v/>
      </c>
    </row>
    <row r="60">
      <c r="A60" s="83" t="inlineStr">
        <is>
          <t>MG</t>
        </is>
      </c>
      <c r="B60" s="83" t="inlineStr">
        <is>
          <t>Pocos De Caldas</t>
        </is>
      </c>
      <c r="C60" s="96" t="n">
        <v>635771.1899999999</v>
      </c>
      <c r="D60" s="96">
        <f>$C60*('Projeção Receita'!E17/'Projeção Receita'!$D$17)</f>
        <v/>
      </c>
      <c r="E60" s="96">
        <f>$C60*('Projeção Receita'!F17/'Projeção Receita'!$D$17)</f>
        <v/>
      </c>
      <c r="F60" s="96">
        <f>$C60*('Projeção Receita'!G17/'Projeção Receita'!$D$17)</f>
        <v/>
      </c>
      <c r="G60" s="96">
        <f>$C60*('Projeção Receita'!H17/'Projeção Receita'!$D$17)</f>
        <v/>
      </c>
      <c r="H60" s="96">
        <f>$C60*('Projeção Receita'!I17/'Projeção Receita'!$D$17)</f>
        <v/>
      </c>
      <c r="I60" s="111">
        <f>I60/C60</f>
        <v/>
      </c>
    </row>
    <row r="61">
      <c r="A61" s="83" t="inlineStr">
        <is>
          <t>MG</t>
        </is>
      </c>
      <c r="B61" s="83" t="inlineStr">
        <is>
          <t>Belo Horizonte</t>
        </is>
      </c>
      <c r="C61" s="96" t="n">
        <v>128351.91</v>
      </c>
      <c r="D61" s="96">
        <f>$C61*('Projeção Receita'!E17/'Projeção Receita'!$D$17)</f>
        <v/>
      </c>
      <c r="E61" s="96">
        <f>$C61*('Projeção Receita'!F17/'Projeção Receita'!$D$17)</f>
        <v/>
      </c>
      <c r="F61" s="96">
        <f>$C61*('Projeção Receita'!G17/'Projeção Receita'!$D$17)</f>
        <v/>
      </c>
      <c r="G61" s="96">
        <f>$C61*('Projeção Receita'!H17/'Projeção Receita'!$D$17)</f>
        <v/>
      </c>
      <c r="H61" s="96">
        <f>$C61*('Projeção Receita'!I17/'Projeção Receita'!$D$17)</f>
        <v/>
      </c>
      <c r="I61" s="111">
        <f>I61/C61</f>
        <v/>
      </c>
    </row>
    <row r="62">
      <c r="A62" s="83" t="inlineStr">
        <is>
          <t>MG</t>
        </is>
      </c>
      <c r="B62" s="83" t="inlineStr">
        <is>
          <t>Juiz De Fora</t>
        </is>
      </c>
      <c r="C62" s="96" t="n">
        <v>115683.52</v>
      </c>
      <c r="D62" s="96">
        <f>$C62*('Projeção Receita'!E17/'Projeção Receita'!$D$17)</f>
        <v/>
      </c>
      <c r="E62" s="96">
        <f>$C62*('Projeção Receita'!F17/'Projeção Receita'!$D$17)</f>
        <v/>
      </c>
      <c r="F62" s="96">
        <f>$C62*('Projeção Receita'!G17/'Projeção Receita'!$D$17)</f>
        <v/>
      </c>
      <c r="G62" s="96">
        <f>$C62*('Projeção Receita'!H17/'Projeção Receita'!$D$17)</f>
        <v/>
      </c>
      <c r="H62" s="96">
        <f>$C62*('Projeção Receita'!I17/'Projeção Receita'!$D$17)</f>
        <v/>
      </c>
      <c r="I62" s="111">
        <f>I62/C62</f>
        <v/>
      </c>
    </row>
    <row r="63">
      <c r="A63" s="83" t="inlineStr">
        <is>
          <t>MG</t>
        </is>
      </c>
      <c r="B63" s="83" t="inlineStr">
        <is>
          <t>Uberaba</t>
        </is>
      </c>
      <c r="C63" s="96" t="n">
        <v>100228.6</v>
      </c>
      <c r="D63" s="96">
        <f>$C63*('Projeção Receita'!E17/'Projeção Receita'!$D$17)</f>
        <v/>
      </c>
      <c r="E63" s="96">
        <f>$C63*('Projeção Receita'!F17/'Projeção Receita'!$D$17)</f>
        <v/>
      </c>
      <c r="F63" s="96">
        <f>$C63*('Projeção Receita'!G17/'Projeção Receita'!$D$17)</f>
        <v/>
      </c>
      <c r="G63" s="96">
        <f>$C63*('Projeção Receita'!H17/'Projeção Receita'!$D$17)</f>
        <v/>
      </c>
      <c r="H63" s="96">
        <f>$C63*('Projeção Receita'!I17/'Projeção Receita'!$D$17)</f>
        <v/>
      </c>
      <c r="I63" s="111">
        <f>I63/C63</f>
        <v/>
      </c>
    </row>
    <row r="64">
      <c r="A64" s="83" t="inlineStr">
        <is>
          <t>MG</t>
        </is>
      </c>
      <c r="B64" s="83" t="inlineStr">
        <is>
          <t>Estiva</t>
        </is>
      </c>
      <c r="C64" s="96" t="n">
        <v>72592.2</v>
      </c>
      <c r="D64" s="96">
        <f>$C64*('Projeção Receita'!E17/'Projeção Receita'!$D$17)</f>
        <v/>
      </c>
      <c r="E64" s="96">
        <f>$C64*('Projeção Receita'!F17/'Projeção Receita'!$D$17)</f>
        <v/>
      </c>
      <c r="F64" s="96">
        <f>$C64*('Projeção Receita'!G17/'Projeção Receita'!$D$17)</f>
        <v/>
      </c>
      <c r="G64" s="96">
        <f>$C64*('Projeção Receita'!H17/'Projeção Receita'!$D$17)</f>
        <v/>
      </c>
      <c r="H64" s="96">
        <f>$C64*('Projeção Receita'!I17/'Projeção Receita'!$D$17)</f>
        <v/>
      </c>
      <c r="I64" s="111">
        <f>I64/C64</f>
        <v/>
      </c>
    </row>
    <row r="65">
      <c r="A65" s="83" t="inlineStr">
        <is>
          <t>MG</t>
        </is>
      </c>
      <c r="B65" s="83" t="inlineStr">
        <is>
          <t>Ribeirao Vermelho</t>
        </is>
      </c>
      <c r="C65" s="96" t="n">
        <v>56428.24</v>
      </c>
      <c r="D65" s="96">
        <f>$C65*('Projeção Receita'!E17/'Projeção Receita'!$D$17)</f>
        <v/>
      </c>
      <c r="E65" s="96">
        <f>$C65*('Projeção Receita'!F17/'Projeção Receita'!$D$17)</f>
        <v/>
      </c>
      <c r="F65" s="96">
        <f>$C65*('Projeção Receita'!G17/'Projeção Receita'!$D$17)</f>
        <v/>
      </c>
      <c r="G65" s="96">
        <f>$C65*('Projeção Receita'!H17/'Projeção Receita'!$D$17)</f>
        <v/>
      </c>
      <c r="H65" s="96">
        <f>$C65*('Projeção Receita'!I17/'Projeção Receita'!$D$17)</f>
        <v/>
      </c>
      <c r="I65" s="111">
        <f>I65/C65</f>
        <v/>
      </c>
    </row>
    <row r="66">
      <c r="A66" s="83" t="inlineStr">
        <is>
          <t>MG</t>
        </is>
      </c>
      <c r="B66" s="83" t="inlineStr">
        <is>
          <t>Botelhos</t>
        </is>
      </c>
      <c r="C66" s="96" t="n">
        <v>49382.29</v>
      </c>
      <c r="D66" s="96">
        <f>$C66*('Projeção Receita'!E17/'Projeção Receita'!$D$17)</f>
        <v/>
      </c>
      <c r="E66" s="96">
        <f>$C66*('Projeção Receita'!F17/'Projeção Receita'!$D$17)</f>
        <v/>
      </c>
      <c r="F66" s="96">
        <f>$C66*('Projeção Receita'!G17/'Projeção Receita'!$D$17)</f>
        <v/>
      </c>
      <c r="G66" s="96">
        <f>$C66*('Projeção Receita'!H17/'Projeção Receita'!$D$17)</f>
        <v/>
      </c>
      <c r="H66" s="96">
        <f>$C66*('Projeção Receita'!I17/'Projeção Receita'!$D$17)</f>
        <v/>
      </c>
      <c r="I66" s="111">
        <f>I66/C66</f>
        <v/>
      </c>
    </row>
    <row r="67">
      <c r="A67" s="83" t="inlineStr">
        <is>
          <t>MG</t>
        </is>
      </c>
      <c r="B67" s="83" t="inlineStr">
        <is>
          <t>Sao Sebastiao Da Bela Vista</t>
        </is>
      </c>
      <c r="C67" s="96" t="n">
        <v>44695</v>
      </c>
      <c r="D67" s="96">
        <f>$C67*('Projeção Receita'!E17/'Projeção Receita'!$D$17)</f>
        <v/>
      </c>
      <c r="E67" s="96">
        <f>$C67*('Projeção Receita'!F17/'Projeção Receita'!$D$17)</f>
        <v/>
      </c>
      <c r="F67" s="96">
        <f>$C67*('Projeção Receita'!G17/'Projeção Receita'!$D$17)</f>
        <v/>
      </c>
      <c r="G67" s="96">
        <f>$C67*('Projeção Receita'!H17/'Projeção Receita'!$D$17)</f>
        <v/>
      </c>
      <c r="H67" s="96">
        <f>$C67*('Projeção Receita'!I17/'Projeção Receita'!$D$17)</f>
        <v/>
      </c>
      <c r="I67" s="111">
        <f>I67/C67</f>
        <v/>
      </c>
    </row>
    <row r="68">
      <c r="A68" s="83" t="inlineStr">
        <is>
          <t>MG</t>
        </is>
      </c>
      <c r="B68" s="83" t="inlineStr">
        <is>
          <t>Uberlandia</t>
        </is>
      </c>
      <c r="C68" s="96" t="n">
        <v>37635.75</v>
      </c>
      <c r="D68" s="96">
        <f>$C68*('Projeção Receita'!E17/'Projeção Receita'!$D$17)</f>
        <v/>
      </c>
      <c r="E68" s="96">
        <f>$C68*('Projeção Receita'!F17/'Projeção Receita'!$D$17)</f>
        <v/>
      </c>
      <c r="F68" s="96">
        <f>$C68*('Projeção Receita'!G17/'Projeção Receita'!$D$17)</f>
        <v/>
      </c>
      <c r="G68" s="96">
        <f>$C68*('Projeção Receita'!H17/'Projeção Receita'!$D$17)</f>
        <v/>
      </c>
      <c r="H68" s="96">
        <f>$C68*('Projeção Receita'!I17/'Projeção Receita'!$D$17)</f>
        <v/>
      </c>
      <c r="I68" s="111">
        <f>I68/C68</f>
        <v/>
      </c>
    </row>
    <row r="69">
      <c r="A69" s="83" t="inlineStr">
        <is>
          <t>MG</t>
        </is>
      </c>
      <c r="B69" s="83" t="inlineStr">
        <is>
          <t>Oliveira</t>
        </is>
      </c>
      <c r="C69" s="96" t="n">
        <v>37324.5</v>
      </c>
      <c r="D69" s="96">
        <f>$C69*('Projeção Receita'!E17/'Projeção Receita'!$D$17)</f>
        <v/>
      </c>
      <c r="E69" s="96">
        <f>$C69*('Projeção Receita'!F17/'Projeção Receita'!$D$17)</f>
        <v/>
      </c>
      <c r="F69" s="96">
        <f>$C69*('Projeção Receita'!G17/'Projeção Receita'!$D$17)</f>
        <v/>
      </c>
      <c r="G69" s="96">
        <f>$C69*('Projeção Receita'!H17/'Projeção Receita'!$D$17)</f>
        <v/>
      </c>
      <c r="H69" s="96">
        <f>$C69*('Projeção Receita'!I17/'Projeção Receita'!$D$17)</f>
        <v/>
      </c>
      <c r="I69" s="111">
        <f>I69/C69</f>
        <v/>
      </c>
    </row>
    <row r="70">
      <c r="A70" s="83" t="inlineStr">
        <is>
          <t>MG</t>
        </is>
      </c>
      <c r="B70" s="83" t="inlineStr">
        <is>
          <t>Confins</t>
        </is>
      </c>
      <c r="C70" s="96" t="n">
        <v>31474.4</v>
      </c>
      <c r="D70" s="96">
        <f>$C70*('Projeção Receita'!E17/'Projeção Receita'!$D$17)</f>
        <v/>
      </c>
      <c r="E70" s="96">
        <f>$C70*('Projeção Receita'!F17/'Projeção Receita'!$D$17)</f>
        <v/>
      </c>
      <c r="F70" s="96">
        <f>$C70*('Projeção Receita'!G17/'Projeção Receita'!$D$17)</f>
        <v/>
      </c>
      <c r="G70" s="96">
        <f>$C70*('Projeção Receita'!H17/'Projeção Receita'!$D$17)</f>
        <v/>
      </c>
      <c r="H70" s="96">
        <f>$C70*('Projeção Receita'!I17/'Projeção Receita'!$D$17)</f>
        <v/>
      </c>
      <c r="I70" s="111">
        <f>I70/C70</f>
        <v/>
      </c>
    </row>
    <row r="71">
      <c r="A71" s="83" t="inlineStr">
        <is>
          <t>MG</t>
        </is>
      </c>
      <c r="B71" s="112" t="inlineStr">
        <is>
          <t>Outras cidades do estado (residual)</t>
        </is>
      </c>
      <c r="C71" s="113">
        <f>C59-SUM(C60:C70)</f>
        <v/>
      </c>
      <c r="D71" s="113">
        <f>D59-SUM(D60:D70)</f>
        <v/>
      </c>
      <c r="E71" s="113">
        <f>E59-SUM(E60:E70)</f>
        <v/>
      </c>
      <c r="F71" s="113">
        <f>F59-SUM(F60:F70)</f>
        <v/>
      </c>
      <c r="G71" s="113">
        <f>G59-SUM(G60:G70)</f>
        <v/>
      </c>
      <c r="H71" s="113">
        <f>H59-SUM(H60:H70)</f>
        <v/>
      </c>
    </row>
    <row r="73">
      <c r="A73" s="108" t="inlineStr">
        <is>
          <t>SC</t>
        </is>
      </c>
      <c r="B73" s="108" t="inlineStr">
        <is>
          <t>TOTAL SC (B2B)</t>
        </is>
      </c>
      <c r="C73" s="109">
        <f>'Projeção Receita'!D9</f>
        <v/>
      </c>
      <c r="D73" s="109">
        <f>'Projeção Receita'!E9</f>
        <v/>
      </c>
      <c r="E73" s="109">
        <f>'Projeção Receita'!F9</f>
        <v/>
      </c>
      <c r="F73" s="109">
        <f>'Projeção Receita'!G9</f>
        <v/>
      </c>
      <c r="G73" s="109">
        <f>'Projeção Receita'!H9</f>
        <v/>
      </c>
      <c r="H73" s="109">
        <f>'Projeção Receita'!I9</f>
        <v/>
      </c>
      <c r="I73" s="110">
        <f>I73/C73</f>
        <v/>
      </c>
    </row>
    <row r="74">
      <c r="A74" s="83" t="inlineStr">
        <is>
          <t>SC</t>
        </is>
      </c>
      <c r="B74" s="83" t="inlineStr">
        <is>
          <t>Balneario Picarras</t>
        </is>
      </c>
      <c r="C74" s="96" t="n">
        <v>203891.5</v>
      </c>
      <c r="D74" s="96">
        <f>$C74*('Projeção Receita'!E9/'Projeção Receita'!$D$9)</f>
        <v/>
      </c>
      <c r="E74" s="96">
        <f>$C74*('Projeção Receita'!F9/'Projeção Receita'!$D$9)</f>
        <v/>
      </c>
      <c r="F74" s="96">
        <f>$C74*('Projeção Receita'!G9/'Projeção Receita'!$D$9)</f>
        <v/>
      </c>
      <c r="G74" s="96">
        <f>$C74*('Projeção Receita'!H9/'Projeção Receita'!$D$9)</f>
        <v/>
      </c>
      <c r="H74" s="96">
        <f>$C74*('Projeção Receita'!I9/'Projeção Receita'!$D$9)</f>
        <v/>
      </c>
      <c r="I74" s="111">
        <f>I74/C74</f>
        <v/>
      </c>
    </row>
    <row r="75">
      <c r="A75" s="83" t="inlineStr">
        <is>
          <t>SC</t>
        </is>
      </c>
      <c r="B75" s="83" t="inlineStr">
        <is>
          <t>Cacador</t>
        </is>
      </c>
      <c r="C75" s="96" t="n">
        <v>91789.2</v>
      </c>
      <c r="D75" s="96">
        <f>$C75*('Projeção Receita'!E9/'Projeção Receita'!$D$9)</f>
        <v/>
      </c>
      <c r="E75" s="96">
        <f>$C75*('Projeção Receita'!F9/'Projeção Receita'!$D$9)</f>
        <v/>
      </c>
      <c r="F75" s="96">
        <f>$C75*('Projeção Receita'!G9/'Projeção Receita'!$D$9)</f>
        <v/>
      </c>
      <c r="G75" s="96">
        <f>$C75*('Projeção Receita'!H9/'Projeção Receita'!$D$9)</f>
        <v/>
      </c>
      <c r="H75" s="96">
        <f>$C75*('Projeção Receita'!I9/'Projeção Receita'!$D$9)</f>
        <v/>
      </c>
      <c r="I75" s="111">
        <f>I75/C75</f>
        <v/>
      </c>
    </row>
    <row r="76">
      <c r="A76" s="83" t="inlineStr">
        <is>
          <t>SC</t>
        </is>
      </c>
      <c r="B76" s="83" t="inlineStr">
        <is>
          <t>Florianopolis</t>
        </is>
      </c>
      <c r="C76" s="96" t="n">
        <v>87996.61</v>
      </c>
      <c r="D76" s="96">
        <f>$C76*('Projeção Receita'!E9/'Projeção Receita'!$D$9)</f>
        <v/>
      </c>
      <c r="E76" s="96">
        <f>$C76*('Projeção Receita'!F9/'Projeção Receita'!$D$9)</f>
        <v/>
      </c>
      <c r="F76" s="96">
        <f>$C76*('Projeção Receita'!G9/'Projeção Receita'!$D$9)</f>
        <v/>
      </c>
      <c r="G76" s="96">
        <f>$C76*('Projeção Receita'!H9/'Projeção Receita'!$D$9)</f>
        <v/>
      </c>
      <c r="H76" s="96">
        <f>$C76*('Projeção Receita'!I9/'Projeção Receita'!$D$9)</f>
        <v/>
      </c>
      <c r="I76" s="111">
        <f>I76/C76</f>
        <v/>
      </c>
    </row>
    <row r="77">
      <c r="A77" s="83" t="inlineStr">
        <is>
          <t>SC</t>
        </is>
      </c>
      <c r="B77" s="83" t="inlineStr">
        <is>
          <t>Imbituba</t>
        </is>
      </c>
      <c r="C77" s="96" t="n">
        <v>84773.00999999999</v>
      </c>
      <c r="D77" s="96">
        <f>$C77*('Projeção Receita'!E9/'Projeção Receita'!$D$9)</f>
        <v/>
      </c>
      <c r="E77" s="96">
        <f>$C77*('Projeção Receita'!F9/'Projeção Receita'!$D$9)</f>
        <v/>
      </c>
      <c r="F77" s="96">
        <f>$C77*('Projeção Receita'!G9/'Projeção Receita'!$D$9)</f>
        <v/>
      </c>
      <c r="G77" s="96">
        <f>$C77*('Projeção Receita'!H9/'Projeção Receita'!$D$9)</f>
        <v/>
      </c>
      <c r="H77" s="96">
        <f>$C77*('Projeção Receita'!I9/'Projeção Receita'!$D$9)</f>
        <v/>
      </c>
      <c r="I77" s="111">
        <f>I77/C77</f>
        <v/>
      </c>
    </row>
    <row r="78">
      <c r="A78" s="83" t="inlineStr">
        <is>
          <t>SC</t>
        </is>
      </c>
      <c r="B78" s="83" t="inlineStr">
        <is>
          <t>Itajai</t>
        </is>
      </c>
      <c r="C78" s="96" t="n">
        <v>41598.79</v>
      </c>
      <c r="D78" s="96">
        <f>$C78*('Projeção Receita'!E9/'Projeção Receita'!$D$9)</f>
        <v/>
      </c>
      <c r="E78" s="96">
        <f>$C78*('Projeção Receita'!F9/'Projeção Receita'!$D$9)</f>
        <v/>
      </c>
      <c r="F78" s="96">
        <f>$C78*('Projeção Receita'!G9/'Projeção Receita'!$D$9)</f>
        <v/>
      </c>
      <c r="G78" s="96">
        <f>$C78*('Projeção Receita'!H9/'Projeção Receita'!$D$9)</f>
        <v/>
      </c>
      <c r="H78" s="96">
        <f>$C78*('Projeção Receita'!I9/'Projeção Receita'!$D$9)</f>
        <v/>
      </c>
      <c r="I78" s="111">
        <f>I78/C78</f>
        <v/>
      </c>
    </row>
    <row r="79">
      <c r="A79" s="83" t="inlineStr">
        <is>
          <t>SC</t>
        </is>
      </c>
      <c r="B79" s="83" t="inlineStr">
        <is>
          <t>Joinville</t>
        </is>
      </c>
      <c r="C79" s="96" t="n">
        <v>33601.71</v>
      </c>
      <c r="D79" s="96">
        <f>$C79*('Projeção Receita'!E9/'Projeção Receita'!$D$9)</f>
        <v/>
      </c>
      <c r="E79" s="96">
        <f>$C79*('Projeção Receita'!F9/'Projeção Receita'!$D$9)</f>
        <v/>
      </c>
      <c r="F79" s="96">
        <f>$C79*('Projeção Receita'!G9/'Projeção Receita'!$D$9)</f>
        <v/>
      </c>
      <c r="G79" s="96">
        <f>$C79*('Projeção Receita'!H9/'Projeção Receita'!$D$9)</f>
        <v/>
      </c>
      <c r="H79" s="96">
        <f>$C79*('Projeção Receita'!I9/'Projeção Receita'!$D$9)</f>
        <v/>
      </c>
      <c r="I79" s="111">
        <f>I79/C79</f>
        <v/>
      </c>
    </row>
    <row r="80">
      <c r="A80" s="83" t="inlineStr">
        <is>
          <t>SC</t>
        </is>
      </c>
      <c r="B80" s="112" t="inlineStr">
        <is>
          <t>Outras cidades do estado (residual)</t>
        </is>
      </c>
      <c r="C80" s="113">
        <f>C73-SUM(C74:C79)</f>
        <v/>
      </c>
      <c r="D80" s="113">
        <f>D73-SUM(D74:D79)</f>
        <v/>
      </c>
      <c r="E80" s="113">
        <f>E73-SUM(E74:E79)</f>
        <v/>
      </c>
      <c r="F80" s="113">
        <f>F73-SUM(F74:F79)</f>
        <v/>
      </c>
      <c r="G80" s="113">
        <f>G73-SUM(G74:G79)</f>
        <v/>
      </c>
      <c r="H80" s="113">
        <f>H73-SUM(H74:H79)</f>
        <v/>
      </c>
    </row>
    <row r="82">
      <c r="A82" s="108" t="inlineStr">
        <is>
          <t>PR</t>
        </is>
      </c>
      <c r="B82" s="108" t="inlineStr">
        <is>
          <t>TOTAL PR (B2B)</t>
        </is>
      </c>
      <c r="C82" s="109">
        <f>'Projeção Receita'!D13</f>
        <v/>
      </c>
      <c r="D82" s="109">
        <f>'Projeção Receita'!E13</f>
        <v/>
      </c>
      <c r="E82" s="109">
        <f>'Projeção Receita'!F13</f>
        <v/>
      </c>
      <c r="F82" s="109">
        <f>'Projeção Receita'!G13</f>
        <v/>
      </c>
      <c r="G82" s="109">
        <f>'Projeção Receita'!H13</f>
        <v/>
      </c>
      <c r="H82" s="109">
        <f>'Projeção Receita'!I13</f>
        <v/>
      </c>
      <c r="I82" s="110">
        <f>I82/C82</f>
        <v/>
      </c>
    </row>
    <row r="83">
      <c r="A83" s="83" t="inlineStr">
        <is>
          <t>PR</t>
        </is>
      </c>
      <c r="B83" s="83" t="inlineStr">
        <is>
          <t>Curitiba</t>
        </is>
      </c>
      <c r="C83" s="96" t="n">
        <v>558271.75</v>
      </c>
      <c r="D83" s="96">
        <f>$C83*('Projeção Receita'!E13/'Projeção Receita'!$D$13)</f>
        <v/>
      </c>
      <c r="E83" s="96">
        <f>$C83*('Projeção Receita'!F13/'Projeção Receita'!$D$13)</f>
        <v/>
      </c>
      <c r="F83" s="96">
        <f>$C83*('Projeção Receita'!G13/'Projeção Receita'!$D$13)</f>
        <v/>
      </c>
      <c r="G83" s="96">
        <f>$C83*('Projeção Receita'!H13/'Projeção Receita'!$D$13)</f>
        <v/>
      </c>
      <c r="H83" s="96">
        <f>$C83*('Projeção Receita'!I13/'Projeção Receita'!$D$13)</f>
        <v/>
      </c>
      <c r="I83" s="111">
        <f>I83/C83</f>
        <v/>
      </c>
    </row>
    <row r="84">
      <c r="A84" s="83" t="inlineStr">
        <is>
          <t>PR</t>
        </is>
      </c>
      <c r="B84" s="83" t="inlineStr">
        <is>
          <t>Toledo</t>
        </is>
      </c>
      <c r="C84" s="96" t="n">
        <v>49304.97</v>
      </c>
      <c r="D84" s="96">
        <f>$C84*('Projeção Receita'!E13/'Projeção Receita'!$D$13)</f>
        <v/>
      </c>
      <c r="E84" s="96">
        <f>$C84*('Projeção Receita'!F13/'Projeção Receita'!$D$13)</f>
        <v/>
      </c>
      <c r="F84" s="96">
        <f>$C84*('Projeção Receita'!G13/'Projeção Receita'!$D$13)</f>
        <v/>
      </c>
      <c r="G84" s="96">
        <f>$C84*('Projeção Receita'!H13/'Projeção Receita'!$D$13)</f>
        <v/>
      </c>
      <c r="H84" s="96">
        <f>$C84*('Projeção Receita'!I13/'Projeção Receita'!$D$13)</f>
        <v/>
      </c>
      <c r="I84" s="111">
        <f>I84/C84</f>
        <v/>
      </c>
    </row>
    <row r="85">
      <c r="A85" s="83" t="inlineStr">
        <is>
          <t>PR</t>
        </is>
      </c>
      <c r="B85" s="83" t="inlineStr">
        <is>
          <t>Londrina</t>
        </is>
      </c>
      <c r="C85" s="96" t="n">
        <v>47164.34</v>
      </c>
      <c r="D85" s="96">
        <f>$C85*('Projeção Receita'!E13/'Projeção Receita'!$D$13)</f>
        <v/>
      </c>
      <c r="E85" s="96">
        <f>$C85*('Projeção Receita'!F13/'Projeção Receita'!$D$13)</f>
        <v/>
      </c>
      <c r="F85" s="96">
        <f>$C85*('Projeção Receita'!G13/'Projeção Receita'!$D$13)</f>
        <v/>
      </c>
      <c r="G85" s="96">
        <f>$C85*('Projeção Receita'!H13/'Projeção Receita'!$D$13)</f>
        <v/>
      </c>
      <c r="H85" s="96">
        <f>$C85*('Projeção Receita'!I13/'Projeção Receita'!$D$13)</f>
        <v/>
      </c>
      <c r="I85" s="111">
        <f>I85/C85</f>
        <v/>
      </c>
    </row>
    <row r="86">
      <c r="A86" s="83" t="inlineStr">
        <is>
          <t>PR</t>
        </is>
      </c>
      <c r="B86" s="83" t="inlineStr">
        <is>
          <t>Maringa</t>
        </is>
      </c>
      <c r="C86" s="96" t="n">
        <v>31176</v>
      </c>
      <c r="D86" s="96">
        <f>$C86*('Projeção Receita'!E13/'Projeção Receita'!$D$13)</f>
        <v/>
      </c>
      <c r="E86" s="96">
        <f>$C86*('Projeção Receita'!F13/'Projeção Receita'!$D$13)</f>
        <v/>
      </c>
      <c r="F86" s="96">
        <f>$C86*('Projeção Receita'!G13/'Projeção Receita'!$D$13)</f>
        <v/>
      </c>
      <c r="G86" s="96">
        <f>$C86*('Projeção Receita'!H13/'Projeção Receita'!$D$13)</f>
        <v/>
      </c>
      <c r="H86" s="96">
        <f>$C86*('Projeção Receita'!I13/'Projeção Receita'!$D$13)</f>
        <v/>
      </c>
      <c r="I86" s="111">
        <f>I86/C86</f>
        <v/>
      </c>
    </row>
    <row r="87">
      <c r="A87" s="83" t="inlineStr">
        <is>
          <t>PR</t>
        </is>
      </c>
      <c r="B87" s="112" t="inlineStr">
        <is>
          <t>Outras cidades do estado (residual)</t>
        </is>
      </c>
      <c r="C87" s="113">
        <f>C82-SUM(C83:C86)</f>
        <v/>
      </c>
      <c r="D87" s="113">
        <f>D82-SUM(D83:D86)</f>
        <v/>
      </c>
      <c r="E87" s="113">
        <f>E82-SUM(E83:E86)</f>
        <v/>
      </c>
      <c r="F87" s="113">
        <f>F82-SUM(F83:F86)</f>
        <v/>
      </c>
      <c r="G87" s="113">
        <f>G82-SUM(G83:G86)</f>
        <v/>
      </c>
      <c r="H87" s="113">
        <f>H82-SUM(H83:H86)</f>
        <v/>
      </c>
    </row>
    <row r="89">
      <c r="A89" s="108" t="inlineStr">
        <is>
          <t>GO</t>
        </is>
      </c>
      <c r="B89" s="108" t="inlineStr">
        <is>
          <t>TOTAL GO (B2B)</t>
        </is>
      </c>
      <c r="C89" s="109">
        <f>'Projeção Receita'!D39</f>
        <v/>
      </c>
      <c r="D89" s="109">
        <f>'Projeção Receita'!E39</f>
        <v/>
      </c>
      <c r="E89" s="109">
        <f>'Projeção Receita'!F39</f>
        <v/>
      </c>
      <c r="F89" s="109">
        <f>'Projeção Receita'!G39</f>
        <v/>
      </c>
      <c r="G89" s="109">
        <f>'Projeção Receita'!H39</f>
        <v/>
      </c>
      <c r="H89" s="109">
        <f>'Projeção Receita'!I39</f>
        <v/>
      </c>
      <c r="I89" s="110">
        <f>I89/C89</f>
        <v/>
      </c>
    </row>
    <row r="90">
      <c r="A90" s="83" t="inlineStr">
        <is>
          <t>GO</t>
        </is>
      </c>
      <c r="B90" s="83" t="inlineStr">
        <is>
          <t>Abadiania</t>
        </is>
      </c>
      <c r="C90" s="96" t="n">
        <v>537624.6</v>
      </c>
      <c r="D90" s="96">
        <f>$C90*('Projeção Receita'!E39/'Projeção Receita'!$D$39)</f>
        <v/>
      </c>
      <c r="E90" s="96">
        <f>$C90*('Projeção Receita'!F39/'Projeção Receita'!$D$39)</f>
        <v/>
      </c>
      <c r="F90" s="96">
        <f>$C90*('Projeção Receita'!G39/'Projeção Receita'!$D$39)</f>
        <v/>
      </c>
      <c r="G90" s="96">
        <f>$C90*('Projeção Receita'!H39/'Projeção Receita'!$D$39)</f>
        <v/>
      </c>
      <c r="H90" s="96">
        <f>$C90*('Projeção Receita'!I39/'Projeção Receita'!$D$39)</f>
        <v/>
      </c>
      <c r="I90" s="111">
        <f>I90/C90</f>
        <v/>
      </c>
    </row>
    <row r="91">
      <c r="A91" s="83" t="inlineStr">
        <is>
          <t>GO</t>
        </is>
      </c>
      <c r="B91" s="83" t="inlineStr">
        <is>
          <t>Goiania</t>
        </is>
      </c>
      <c r="C91" s="96" t="n">
        <v>327013.29</v>
      </c>
      <c r="D91" s="96">
        <f>$C91*('Projeção Receita'!E39/'Projeção Receita'!$D$39)</f>
        <v/>
      </c>
      <c r="E91" s="96">
        <f>$C91*('Projeção Receita'!F39/'Projeção Receita'!$D$39)</f>
        <v/>
      </c>
      <c r="F91" s="96">
        <f>$C91*('Projeção Receita'!G39/'Projeção Receita'!$D$39)</f>
        <v/>
      </c>
      <c r="G91" s="96">
        <f>$C91*('Projeção Receita'!H39/'Projeção Receita'!$D$39)</f>
        <v/>
      </c>
      <c r="H91" s="96">
        <f>$C91*('Projeção Receita'!I39/'Projeção Receita'!$D$39)</f>
        <v/>
      </c>
      <c r="I91" s="111">
        <f>I91/C91</f>
        <v/>
      </c>
    </row>
    <row r="92">
      <c r="A92" s="83" t="inlineStr">
        <is>
          <t>GO</t>
        </is>
      </c>
      <c r="B92" s="112" t="inlineStr">
        <is>
          <t>Outras cidades do estado (residual)</t>
        </is>
      </c>
      <c r="C92" s="113">
        <f>C89-SUM(C90:C91)</f>
        <v/>
      </c>
      <c r="D92" s="113">
        <f>D89-SUM(D90:D91)</f>
        <v/>
      </c>
      <c r="E92" s="113">
        <f>E89-SUM(E90:E91)</f>
        <v/>
      </c>
      <c r="F92" s="113">
        <f>F89-SUM(F90:F91)</f>
        <v/>
      </c>
      <c r="G92" s="113">
        <f>G89-SUM(G90:G91)</f>
        <v/>
      </c>
      <c r="H92" s="113">
        <f>H89-SUM(H90:H91)</f>
        <v/>
      </c>
    </row>
    <row r="94">
      <c r="A94" s="108" t="inlineStr">
        <is>
          <t>RS</t>
        </is>
      </c>
      <c r="B94" s="108" t="inlineStr">
        <is>
          <t>TOTAL RS (B2B)</t>
        </is>
      </c>
      <c r="C94" s="109">
        <f>'Projeção Receita'!D15</f>
        <v/>
      </c>
      <c r="D94" s="109">
        <f>'Projeção Receita'!E15</f>
        <v/>
      </c>
      <c r="E94" s="109">
        <f>'Projeção Receita'!F15</f>
        <v/>
      </c>
      <c r="F94" s="109">
        <f>'Projeção Receita'!G15</f>
        <v/>
      </c>
      <c r="G94" s="109">
        <f>'Projeção Receita'!H15</f>
        <v/>
      </c>
      <c r="H94" s="109">
        <f>'Projeção Receita'!I15</f>
        <v/>
      </c>
      <c r="I94" s="110">
        <f>I94/C94</f>
        <v/>
      </c>
    </row>
    <row r="95">
      <c r="A95" s="83" t="inlineStr">
        <is>
          <t>RS</t>
        </is>
      </c>
      <c r="B95" s="83" t="inlineStr">
        <is>
          <t>Gravatai</t>
        </is>
      </c>
      <c r="C95" s="96" t="n">
        <v>99231.66</v>
      </c>
      <c r="D95" s="96">
        <f>$C95*('Projeção Receita'!E15/'Projeção Receita'!$D$15)</f>
        <v/>
      </c>
      <c r="E95" s="96">
        <f>$C95*('Projeção Receita'!F15/'Projeção Receita'!$D$15)</f>
        <v/>
      </c>
      <c r="F95" s="96">
        <f>$C95*('Projeção Receita'!G15/'Projeção Receita'!$D$15)</f>
        <v/>
      </c>
      <c r="G95" s="96">
        <f>$C95*('Projeção Receita'!H15/'Projeção Receita'!$D$15)</f>
        <v/>
      </c>
      <c r="H95" s="96">
        <f>$C95*('Projeção Receita'!I15/'Projeção Receita'!$D$15)</f>
        <v/>
      </c>
      <c r="I95" s="111">
        <f>I95/C95</f>
        <v/>
      </c>
    </row>
    <row r="96">
      <c r="A96" s="83" t="inlineStr">
        <is>
          <t>RS</t>
        </is>
      </c>
      <c r="B96" s="83" t="inlineStr">
        <is>
          <t>Bento Goncalves</t>
        </is>
      </c>
      <c r="C96" s="96" t="n">
        <v>62839.98</v>
      </c>
      <c r="D96" s="96">
        <f>$C96*('Projeção Receita'!E15/'Projeção Receita'!$D$15)</f>
        <v/>
      </c>
      <c r="E96" s="96">
        <f>$C96*('Projeção Receita'!F15/'Projeção Receita'!$D$15)</f>
        <v/>
      </c>
      <c r="F96" s="96">
        <f>$C96*('Projeção Receita'!G15/'Projeção Receita'!$D$15)</f>
        <v/>
      </c>
      <c r="G96" s="96">
        <f>$C96*('Projeção Receita'!H15/'Projeção Receita'!$D$15)</f>
        <v/>
      </c>
      <c r="H96" s="96">
        <f>$C96*('Projeção Receita'!I15/'Projeção Receita'!$D$15)</f>
        <v/>
      </c>
      <c r="I96" s="111">
        <f>I96/C96</f>
        <v/>
      </c>
    </row>
    <row r="97">
      <c r="A97" s="83" t="inlineStr">
        <is>
          <t>RS</t>
        </is>
      </c>
      <c r="B97" s="112" t="inlineStr">
        <is>
          <t>Outras cidades do estado (residual)</t>
        </is>
      </c>
      <c r="C97" s="113">
        <f>C94-SUM(C95:C96)</f>
        <v/>
      </c>
      <c r="D97" s="113">
        <f>D94-SUM(D95:D96)</f>
        <v/>
      </c>
      <c r="E97" s="113">
        <f>E94-SUM(E95:E96)</f>
        <v/>
      </c>
      <c r="F97" s="113">
        <f>F94-SUM(F95:F96)</f>
        <v/>
      </c>
      <c r="G97" s="113">
        <f>G94-SUM(G95:G96)</f>
        <v/>
      </c>
      <c r="H97" s="113">
        <f>H94-SUM(H95:H96)</f>
        <v/>
      </c>
    </row>
    <row r="99">
      <c r="A99" s="108" t="inlineStr">
        <is>
          <t>PE</t>
        </is>
      </c>
      <c r="B99" s="108" t="inlineStr">
        <is>
          <t>TOTAL PE (B2B)</t>
        </is>
      </c>
      <c r="C99" s="109">
        <f>'Projeção Receita'!D25</f>
        <v/>
      </c>
      <c r="D99" s="109">
        <f>'Projeção Receita'!E25</f>
        <v/>
      </c>
      <c r="E99" s="109">
        <f>'Projeção Receita'!F25</f>
        <v/>
      </c>
      <c r="F99" s="109">
        <f>'Projeção Receita'!G25</f>
        <v/>
      </c>
      <c r="G99" s="109">
        <f>'Projeção Receita'!H25</f>
        <v/>
      </c>
      <c r="H99" s="109">
        <f>'Projeção Receita'!I25</f>
        <v/>
      </c>
      <c r="I99" s="110">
        <f>I99/C99</f>
        <v/>
      </c>
    </row>
    <row r="100">
      <c r="A100" s="83" t="inlineStr">
        <is>
          <t>PE</t>
        </is>
      </c>
      <c r="B100" s="83" t="inlineStr">
        <is>
          <t>Ipojuca</t>
        </is>
      </c>
      <c r="C100" s="96" t="n">
        <v>257954.23</v>
      </c>
      <c r="D100" s="96">
        <f>$C100*('Projeção Receita'!E25/'Projeção Receita'!$D$25)</f>
        <v/>
      </c>
      <c r="E100" s="96">
        <f>$C100*('Projeção Receita'!F25/'Projeção Receita'!$D$25)</f>
        <v/>
      </c>
      <c r="F100" s="96">
        <f>$C100*('Projeção Receita'!G25/'Projeção Receita'!$D$25)</f>
        <v/>
      </c>
      <c r="G100" s="96">
        <f>$C100*('Projeção Receita'!H25/'Projeção Receita'!$D$25)</f>
        <v/>
      </c>
      <c r="H100" s="96">
        <f>$C100*('Projeção Receita'!I25/'Projeção Receita'!$D$25)</f>
        <v/>
      </c>
      <c r="I100" s="111">
        <f>I100/C100</f>
        <v/>
      </c>
    </row>
    <row r="101">
      <c r="A101" s="83" t="inlineStr">
        <is>
          <t>PE</t>
        </is>
      </c>
      <c r="B101" s="83" t="inlineStr">
        <is>
          <t>Recife</t>
        </is>
      </c>
      <c r="C101" s="96" t="n">
        <v>57641.35</v>
      </c>
      <c r="D101" s="96">
        <f>$C101*('Projeção Receita'!E25/'Projeção Receita'!$D$25)</f>
        <v/>
      </c>
      <c r="E101" s="96">
        <f>$C101*('Projeção Receita'!F25/'Projeção Receita'!$D$25)</f>
        <v/>
      </c>
      <c r="F101" s="96">
        <f>$C101*('Projeção Receita'!G25/'Projeção Receita'!$D$25)</f>
        <v/>
      </c>
      <c r="G101" s="96">
        <f>$C101*('Projeção Receita'!H25/'Projeção Receita'!$D$25)</f>
        <v/>
      </c>
      <c r="H101" s="96">
        <f>$C101*('Projeção Receita'!I25/'Projeção Receita'!$D$25)</f>
        <v/>
      </c>
      <c r="I101" s="111">
        <f>I101/C101</f>
        <v/>
      </c>
    </row>
    <row r="102">
      <c r="A102" s="83" t="inlineStr">
        <is>
          <t>PE</t>
        </is>
      </c>
      <c r="B102" s="112" t="inlineStr">
        <is>
          <t>Outras cidades do estado (residual)</t>
        </is>
      </c>
      <c r="C102" s="113">
        <f>C99-SUM(C100:C101)</f>
        <v/>
      </c>
      <c r="D102" s="113">
        <f>D99-SUM(D100:D101)</f>
        <v/>
      </c>
      <c r="E102" s="113">
        <f>E99-SUM(E100:E101)</f>
        <v/>
      </c>
      <c r="F102" s="113">
        <f>F99-SUM(F100:F101)</f>
        <v/>
      </c>
      <c r="G102" s="113">
        <f>G99-SUM(G100:G101)</f>
        <v/>
      </c>
      <c r="H102" s="113">
        <f>H99-SUM(H100:H101)</f>
        <v/>
      </c>
    </row>
    <row r="104">
      <c r="A104" s="108" t="inlineStr">
        <is>
          <t>BA</t>
        </is>
      </c>
      <c r="B104" s="108" t="inlineStr">
        <is>
          <t>TOTAL BA (B2B)</t>
        </is>
      </c>
      <c r="C104" s="109">
        <f>'Projeção Receita'!D21</f>
        <v/>
      </c>
      <c r="D104" s="109">
        <f>'Projeção Receita'!E21</f>
        <v/>
      </c>
      <c r="E104" s="109">
        <f>'Projeção Receita'!F21</f>
        <v/>
      </c>
      <c r="F104" s="109">
        <f>'Projeção Receita'!G21</f>
        <v/>
      </c>
      <c r="G104" s="109">
        <f>'Projeção Receita'!H21</f>
        <v/>
      </c>
      <c r="H104" s="109">
        <f>'Projeção Receita'!I21</f>
        <v/>
      </c>
      <c r="I104" s="110">
        <f>I104/C104</f>
        <v/>
      </c>
    </row>
    <row r="105">
      <c r="A105" s="83" t="inlineStr">
        <is>
          <t>BA</t>
        </is>
      </c>
      <c r="B105" s="83" t="inlineStr">
        <is>
          <t>Salvador</t>
        </is>
      </c>
      <c r="C105" s="96" t="n">
        <v>224676.4</v>
      </c>
      <c r="D105" s="96">
        <f>$C105*('Projeção Receita'!E21/'Projeção Receita'!$D$21)</f>
        <v/>
      </c>
      <c r="E105" s="96">
        <f>$C105*('Projeção Receita'!F21/'Projeção Receita'!$D$21)</f>
        <v/>
      </c>
      <c r="F105" s="96">
        <f>$C105*('Projeção Receita'!G21/'Projeção Receita'!$D$21)</f>
        <v/>
      </c>
      <c r="G105" s="96">
        <f>$C105*('Projeção Receita'!H21/'Projeção Receita'!$D$21)</f>
        <v/>
      </c>
      <c r="H105" s="96">
        <f>$C105*('Projeção Receita'!I21/'Projeção Receita'!$D$21)</f>
        <v/>
      </c>
      <c r="I105" s="111">
        <f>I105/C105</f>
        <v/>
      </c>
    </row>
    <row r="106">
      <c r="A106" s="83" t="inlineStr">
        <is>
          <t>BA</t>
        </is>
      </c>
      <c r="B106" s="83" t="inlineStr">
        <is>
          <t>Porto Seguro</t>
        </is>
      </c>
      <c r="C106" s="96" t="n">
        <v>49280</v>
      </c>
      <c r="D106" s="96">
        <f>$C106*('Projeção Receita'!E21/'Projeção Receita'!$D$21)</f>
        <v/>
      </c>
      <c r="E106" s="96">
        <f>$C106*('Projeção Receita'!F21/'Projeção Receita'!$D$21)</f>
        <v/>
      </c>
      <c r="F106" s="96">
        <f>$C106*('Projeção Receita'!G21/'Projeção Receita'!$D$21)</f>
        <v/>
      </c>
      <c r="G106" s="96">
        <f>$C106*('Projeção Receita'!H21/'Projeção Receita'!$D$21)</f>
        <v/>
      </c>
      <c r="H106" s="96">
        <f>$C106*('Projeção Receita'!I21/'Projeção Receita'!$D$21)</f>
        <v/>
      </c>
      <c r="I106" s="111">
        <f>I106/C106</f>
        <v/>
      </c>
    </row>
    <row r="107">
      <c r="A107" s="83" t="inlineStr">
        <is>
          <t>BA</t>
        </is>
      </c>
      <c r="B107" s="112" t="inlineStr">
        <is>
          <t>Outras cidades do estado (residual)</t>
        </is>
      </c>
      <c r="C107" s="113">
        <f>C104-SUM(C105:C106)</f>
        <v/>
      </c>
      <c r="D107" s="113">
        <f>D104-SUM(D105:D106)</f>
        <v/>
      </c>
      <c r="E107" s="113">
        <f>E104-SUM(E105:E106)</f>
        <v/>
      </c>
      <c r="F107" s="113">
        <f>F104-SUM(F105:F106)</f>
        <v/>
      </c>
      <c r="G107" s="113">
        <f>G104-SUM(G105:G106)</f>
        <v/>
      </c>
      <c r="H107" s="113">
        <f>H104-SUM(H105:H106)</f>
        <v/>
      </c>
    </row>
    <row r="109">
      <c r="A109" s="108" t="inlineStr">
        <is>
          <t>DF</t>
        </is>
      </c>
      <c r="B109" s="108" t="inlineStr">
        <is>
          <t>TOTAL DF (B2B)</t>
        </is>
      </c>
      <c r="C109" s="109">
        <f>'Projeção Receita'!D11</f>
        <v/>
      </c>
      <c r="D109" s="109">
        <f>'Projeção Receita'!E11</f>
        <v/>
      </c>
      <c r="E109" s="109">
        <f>'Projeção Receita'!F11</f>
        <v/>
      </c>
      <c r="F109" s="109">
        <f>'Projeção Receita'!G11</f>
        <v/>
      </c>
      <c r="G109" s="109">
        <f>'Projeção Receita'!H11</f>
        <v/>
      </c>
      <c r="H109" s="109">
        <f>'Projeção Receita'!I11</f>
        <v/>
      </c>
      <c r="I109" s="110">
        <f>I109/C109</f>
        <v/>
      </c>
    </row>
    <row r="110">
      <c r="A110" s="83" t="inlineStr">
        <is>
          <t>DF</t>
        </is>
      </c>
      <c r="B110" s="83" t="inlineStr">
        <is>
          <t>Brasilia</t>
        </is>
      </c>
      <c r="C110" s="96" t="n">
        <v>593049.27</v>
      </c>
      <c r="D110" s="96">
        <f>$C110*('Projeção Receita'!E11/'Projeção Receita'!$D$11)</f>
        <v/>
      </c>
      <c r="E110" s="96">
        <f>$C110*('Projeção Receita'!F11/'Projeção Receita'!$D$11)</f>
        <v/>
      </c>
      <c r="F110" s="96">
        <f>$C110*('Projeção Receita'!G11/'Projeção Receita'!$D$11)</f>
        <v/>
      </c>
      <c r="G110" s="96">
        <f>$C110*('Projeção Receita'!H11/'Projeção Receita'!$D$11)</f>
        <v/>
      </c>
      <c r="H110" s="96">
        <f>$C110*('Projeção Receita'!I11/'Projeção Receita'!$D$11)</f>
        <v/>
      </c>
      <c r="I110" s="111">
        <f>I110/C110</f>
        <v/>
      </c>
    </row>
    <row r="111">
      <c r="A111" s="83" t="inlineStr">
        <is>
          <t>DF</t>
        </is>
      </c>
      <c r="B111" s="112" t="inlineStr">
        <is>
          <t>Outras cidades do estado (residual)</t>
        </is>
      </c>
      <c r="C111" s="113">
        <f>C109-SUM(C110:C110)</f>
        <v/>
      </c>
      <c r="D111" s="113">
        <f>D109-SUM(D110:D110)</f>
        <v/>
      </c>
      <c r="E111" s="113">
        <f>E109-SUM(E110:E110)</f>
        <v/>
      </c>
      <c r="F111" s="113">
        <f>F109-SUM(F110:F110)</f>
        <v/>
      </c>
      <c r="G111" s="113">
        <f>G109-SUM(G110:G110)</f>
        <v/>
      </c>
      <c r="H111" s="113">
        <f>H109-SUM(H110:H110)</f>
        <v/>
      </c>
    </row>
    <row r="113">
      <c r="A113" s="108" t="inlineStr">
        <is>
          <t>AM</t>
        </is>
      </c>
      <c r="B113" s="108" t="inlineStr">
        <is>
          <t>TOTAL AM (B2B)</t>
        </is>
      </c>
      <c r="C113" s="109">
        <f>'Projeção Receita'!D31</f>
        <v/>
      </c>
      <c r="D113" s="109">
        <f>'Projeção Receita'!E31</f>
        <v/>
      </c>
      <c r="E113" s="109">
        <f>'Projeção Receita'!F31</f>
        <v/>
      </c>
      <c r="F113" s="109">
        <f>'Projeção Receita'!G31</f>
        <v/>
      </c>
      <c r="G113" s="109">
        <f>'Projeção Receita'!H31</f>
        <v/>
      </c>
      <c r="H113" s="109">
        <f>'Projeção Receita'!I31</f>
        <v/>
      </c>
      <c r="I113" s="110">
        <f>I113/C113</f>
        <v/>
      </c>
    </row>
    <row r="114">
      <c r="A114" s="83" t="inlineStr">
        <is>
          <t>AM</t>
        </is>
      </c>
      <c r="B114" s="83" t="inlineStr">
        <is>
          <t>Manaus</t>
        </is>
      </c>
      <c r="C114" s="96" t="n">
        <v>42233.88</v>
      </c>
      <c r="D114" s="96">
        <f>$C114*('Projeção Receita'!E31/'Projeção Receita'!$D$31)</f>
        <v/>
      </c>
      <c r="E114" s="96">
        <f>$C114*('Projeção Receita'!F31/'Projeção Receita'!$D$31)</f>
        <v/>
      </c>
      <c r="F114" s="96">
        <f>$C114*('Projeção Receita'!G31/'Projeção Receita'!$D$31)</f>
        <v/>
      </c>
      <c r="G114" s="96">
        <f>$C114*('Projeção Receita'!H31/'Projeção Receita'!$D$31)</f>
        <v/>
      </c>
      <c r="H114" s="96">
        <f>$C114*('Projeção Receita'!I31/'Projeção Receita'!$D$31)</f>
        <v/>
      </c>
      <c r="I114" s="111">
        <f>I114/C114</f>
        <v/>
      </c>
    </row>
    <row r="115">
      <c r="A115" s="83" t="inlineStr">
        <is>
          <t>AM</t>
        </is>
      </c>
      <c r="B115" s="112" t="inlineStr">
        <is>
          <t>Outras cidades do estado (residual)</t>
        </is>
      </c>
      <c r="C115" s="113">
        <f>C113-SUM(C114:C114)</f>
        <v/>
      </c>
      <c r="D115" s="113">
        <f>D113-SUM(D114:D114)</f>
        <v/>
      </c>
      <c r="E115" s="113">
        <f>E113-SUM(E114:E114)</f>
        <v/>
      </c>
      <c r="F115" s="113">
        <f>F113-SUM(F114:F114)</f>
        <v/>
      </c>
      <c r="G115" s="113">
        <f>G113-SUM(G114:G114)</f>
        <v/>
      </c>
      <c r="H115" s="113">
        <f>H113-SUM(H114:H114)</f>
        <v/>
      </c>
    </row>
    <row r="117">
      <c r="A117" s="108" t="inlineStr">
        <is>
          <t>MS</t>
        </is>
      </c>
      <c r="B117" s="108" t="inlineStr">
        <is>
          <t>TOTAL MS (B2B)</t>
        </is>
      </c>
      <c r="C117" s="109">
        <f>'Projeção Receita'!D27</f>
        <v/>
      </c>
      <c r="D117" s="109">
        <f>'Projeção Receita'!E27</f>
        <v/>
      </c>
      <c r="E117" s="109">
        <f>'Projeção Receita'!F27</f>
        <v/>
      </c>
      <c r="F117" s="109">
        <f>'Projeção Receita'!G27</f>
        <v/>
      </c>
      <c r="G117" s="109">
        <f>'Projeção Receita'!H27</f>
        <v/>
      </c>
      <c r="H117" s="109">
        <f>'Projeção Receita'!I27</f>
        <v/>
      </c>
      <c r="I117" s="110">
        <f>I117/C117</f>
        <v/>
      </c>
    </row>
    <row r="118">
      <c r="A118" s="83" t="inlineStr">
        <is>
          <t>MS</t>
        </is>
      </c>
      <c r="B118" s="83" t="inlineStr">
        <is>
          <t>Campo Grande</t>
        </is>
      </c>
      <c r="C118" s="96" t="n">
        <v>46554.1</v>
      </c>
      <c r="D118" s="96">
        <f>$C118*('Projeção Receita'!E27/'Projeção Receita'!$D$27)</f>
        <v/>
      </c>
      <c r="E118" s="96">
        <f>$C118*('Projeção Receita'!F27/'Projeção Receita'!$D$27)</f>
        <v/>
      </c>
      <c r="F118" s="96">
        <f>$C118*('Projeção Receita'!G27/'Projeção Receita'!$D$27)</f>
        <v/>
      </c>
      <c r="G118" s="96">
        <f>$C118*('Projeção Receita'!H27/'Projeção Receita'!$D$27)</f>
        <v/>
      </c>
      <c r="H118" s="96">
        <f>$C118*('Projeção Receita'!I27/'Projeção Receita'!$D$27)</f>
        <v/>
      </c>
      <c r="I118" s="111">
        <f>I118/C118</f>
        <v/>
      </c>
    </row>
    <row r="119">
      <c r="A119" s="83" t="inlineStr">
        <is>
          <t>MS</t>
        </is>
      </c>
      <c r="B119" s="112" t="inlineStr">
        <is>
          <t>Outras cidades do estado (residual)</t>
        </is>
      </c>
      <c r="C119" s="113">
        <f>C117-SUM(C118:C118)</f>
        <v/>
      </c>
      <c r="D119" s="113">
        <f>D117-SUM(D118:D118)</f>
        <v/>
      </c>
      <c r="E119" s="113">
        <f>E117-SUM(E118:E118)</f>
        <v/>
      </c>
      <c r="F119" s="113">
        <f>F117-SUM(F118:F118)</f>
        <v/>
      </c>
      <c r="G119" s="113">
        <f>G117-SUM(G118:G118)</f>
        <v/>
      </c>
      <c r="H119" s="113">
        <f>H117-SUM(H118:H118)</f>
        <v/>
      </c>
    </row>
    <row r="121">
      <c r="A121" s="108" t="inlineStr">
        <is>
          <t>RO</t>
        </is>
      </c>
      <c r="B121" s="108" t="inlineStr">
        <is>
          <t>TOTAL RO (B2B)</t>
        </is>
      </c>
      <c r="C121" s="109">
        <f>'Projeção Receita'!D51</f>
        <v/>
      </c>
      <c r="D121" s="109">
        <f>'Projeção Receita'!E51</f>
        <v/>
      </c>
      <c r="E121" s="109">
        <f>'Projeção Receita'!F51</f>
        <v/>
      </c>
      <c r="F121" s="109">
        <f>'Projeção Receita'!G51</f>
        <v/>
      </c>
      <c r="G121" s="109">
        <f>'Projeção Receita'!H51</f>
        <v/>
      </c>
      <c r="H121" s="109">
        <f>'Projeção Receita'!I51</f>
        <v/>
      </c>
      <c r="I121" s="110">
        <f>I121/C121</f>
        <v/>
      </c>
    </row>
    <row r="122">
      <c r="A122" s="83" t="inlineStr">
        <is>
          <t>RO</t>
        </is>
      </c>
      <c r="B122" s="83" t="inlineStr">
        <is>
          <t>Porto Velho</t>
        </is>
      </c>
      <c r="C122" s="96" t="n">
        <v>47198.32</v>
      </c>
      <c r="D122" s="96">
        <f>$C122*('Projeção Receita'!E51/'Projeção Receita'!$D$51)</f>
        <v/>
      </c>
      <c r="E122" s="96">
        <f>$C122*('Projeção Receita'!F51/'Projeção Receita'!$D$51)</f>
        <v/>
      </c>
      <c r="F122" s="96">
        <f>$C122*('Projeção Receita'!G51/'Projeção Receita'!$D$51)</f>
        <v/>
      </c>
      <c r="G122" s="96">
        <f>$C122*('Projeção Receita'!H51/'Projeção Receita'!$D$51)</f>
        <v/>
      </c>
      <c r="H122" s="96">
        <f>$C122*('Projeção Receita'!I51/'Projeção Receita'!$D$51)</f>
        <v/>
      </c>
      <c r="I122" s="111">
        <f>I122/C122</f>
        <v/>
      </c>
    </row>
    <row r="123">
      <c r="A123" s="83" t="inlineStr">
        <is>
          <t>RO</t>
        </is>
      </c>
      <c r="B123" s="112" t="inlineStr">
        <is>
          <t>Outras cidades do estado (residual)</t>
        </is>
      </c>
      <c r="C123" s="113">
        <f>C121-SUM(C122:C122)</f>
        <v/>
      </c>
      <c r="D123" s="113">
        <f>D121-SUM(D122:D122)</f>
        <v/>
      </c>
      <c r="E123" s="113">
        <f>E121-SUM(E122:E122)</f>
        <v/>
      </c>
      <c r="F123" s="113">
        <f>F121-SUM(F122:F122)</f>
        <v/>
      </c>
      <c r="G123" s="113">
        <f>G121-SUM(G122:G122)</f>
        <v/>
      </c>
      <c r="H123" s="113">
        <f>H121-SUM(H122:H122)</f>
        <v/>
      </c>
    </row>
    <row r="125">
      <c r="A125" s="114" t="inlineStr">
        <is>
          <t>⚠ SE</t>
        </is>
      </c>
      <c r="B125" s="114" t="inlineStr">
        <is>
          <t>TOTAL 'SE' — PROVÁVEL ERRO DE CÓDIGO, NÃO É SERGIPE</t>
        </is>
      </c>
      <c r="C125" s="115">
        <f>'Projeção Receita'!D55</f>
        <v/>
      </c>
      <c r="D125" s="115">
        <f>'Projeção Receita'!E55</f>
        <v/>
      </c>
      <c r="E125" s="115">
        <f>'Projeção Receita'!F55</f>
        <v/>
      </c>
      <c r="F125" s="115">
        <f>'Projeção Receita'!G55</f>
        <v/>
      </c>
      <c r="G125" s="115">
        <f>'Projeção Receita'!H55</f>
        <v/>
      </c>
      <c r="H125" s="115">
        <f>'Projeção Receita'!I55</f>
        <v/>
      </c>
      <c r="I125" s="116">
        <f>I125/C125</f>
        <v/>
      </c>
    </row>
    <row r="126">
      <c r="A126" s="117" t="inlineStr">
        <is>
          <t>SE</t>
        </is>
      </c>
      <c r="B126" s="117" t="inlineStr">
        <is>
          <t>Sao Paulo  (cidade real: outro UF)</t>
        </is>
      </c>
      <c r="C126" s="118" t="n">
        <v>706103.76</v>
      </c>
      <c r="D126" s="118">
        <f>$C126*('Projeção Receita'!E55/'Projeção Receita'!$D$55)</f>
        <v/>
      </c>
      <c r="E126" s="118">
        <f>$C126*('Projeção Receita'!F55/'Projeção Receita'!$D$55)</f>
        <v/>
      </c>
      <c r="F126" s="118">
        <f>$C126*('Projeção Receita'!G55/'Projeção Receita'!$D$55)</f>
        <v/>
      </c>
      <c r="G126" s="118">
        <f>$C126*('Projeção Receita'!H55/'Projeção Receita'!$D$55)</f>
        <v/>
      </c>
      <c r="H126" s="118">
        <f>$C126*('Projeção Receita'!I55/'Projeção Receita'!$D$55)</f>
        <v/>
      </c>
      <c r="I126" s="119">
        <f>I126/C126</f>
        <v/>
      </c>
    </row>
    <row r="127">
      <c r="A127" s="117" t="inlineStr">
        <is>
          <t>SE</t>
        </is>
      </c>
      <c r="B127" s="117" t="inlineStr">
        <is>
          <t>Rio De Janeiro  (cidade real: outro UF)</t>
        </is>
      </c>
      <c r="C127" s="118" t="n">
        <v>356756.42</v>
      </c>
      <c r="D127" s="118">
        <f>$C127*('Projeção Receita'!E55/'Projeção Receita'!$D$55)</f>
        <v/>
      </c>
      <c r="E127" s="118">
        <f>$C127*('Projeção Receita'!F55/'Projeção Receita'!$D$55)</f>
        <v/>
      </c>
      <c r="F127" s="118">
        <f>$C127*('Projeção Receita'!G55/'Projeção Receita'!$D$55)</f>
        <v/>
      </c>
      <c r="G127" s="118">
        <f>$C127*('Projeção Receita'!H55/'Projeção Receita'!$D$55)</f>
        <v/>
      </c>
      <c r="H127" s="118">
        <f>$C127*('Projeção Receita'!I55/'Projeção Receita'!$D$55)</f>
        <v/>
      </c>
      <c r="I127" s="119">
        <f>I127/C127</f>
        <v/>
      </c>
    </row>
    <row r="128">
      <c r="A128" s="117" t="inlineStr">
        <is>
          <t>SE</t>
        </is>
      </c>
      <c r="B128" s="117" t="inlineStr">
        <is>
          <t>Catanduva  (cidade real: outro UF)</t>
        </is>
      </c>
      <c r="C128" s="118" t="n">
        <v>117565</v>
      </c>
      <c r="D128" s="118">
        <f>$C128*('Projeção Receita'!E55/'Projeção Receita'!$D$55)</f>
        <v/>
      </c>
      <c r="E128" s="118">
        <f>$C128*('Projeção Receita'!F55/'Projeção Receita'!$D$55)</f>
        <v/>
      </c>
      <c r="F128" s="118">
        <f>$C128*('Projeção Receita'!G55/'Projeção Receita'!$D$55)</f>
        <v/>
      </c>
      <c r="G128" s="118">
        <f>$C128*('Projeção Receita'!H55/'Projeção Receita'!$D$55)</f>
        <v/>
      </c>
      <c r="H128" s="118">
        <f>$C128*('Projeção Receita'!I55/'Projeção Receita'!$D$55)</f>
        <v/>
      </c>
      <c r="I128" s="119">
        <f>I128/C128</f>
        <v/>
      </c>
    </row>
    <row r="129">
      <c r="A129" s="117" t="inlineStr">
        <is>
          <t>SE</t>
        </is>
      </c>
      <c r="B129" s="117" t="inlineStr">
        <is>
          <t>Jundiai  (cidade real: outro UF)</t>
        </is>
      </c>
      <c r="C129" s="118" t="n">
        <v>103036.1</v>
      </c>
      <c r="D129" s="118">
        <f>$C129*('Projeção Receita'!E55/'Projeção Receita'!$D$55)</f>
        <v/>
      </c>
      <c r="E129" s="118">
        <f>$C129*('Projeção Receita'!F55/'Projeção Receita'!$D$55)</f>
        <v/>
      </c>
      <c r="F129" s="118">
        <f>$C129*('Projeção Receita'!G55/'Projeção Receita'!$D$55)</f>
        <v/>
      </c>
      <c r="G129" s="118">
        <f>$C129*('Projeção Receita'!H55/'Projeção Receita'!$D$55)</f>
        <v/>
      </c>
      <c r="H129" s="118">
        <f>$C129*('Projeção Receita'!I55/'Projeção Receita'!$D$55)</f>
        <v/>
      </c>
      <c r="I129" s="119">
        <f>I129/C129</f>
        <v/>
      </c>
    </row>
    <row r="130">
      <c r="A130" s="117" t="inlineStr">
        <is>
          <t>SE</t>
        </is>
      </c>
      <c r="B130" s="117" t="inlineStr">
        <is>
          <t>Pocos De Caldas  (cidade real: outro UF)</t>
        </is>
      </c>
      <c r="C130" s="118" t="n">
        <v>63459.9</v>
      </c>
      <c r="D130" s="118">
        <f>$C130*('Projeção Receita'!E55/'Projeção Receita'!$D$55)</f>
        <v/>
      </c>
      <c r="E130" s="118">
        <f>$C130*('Projeção Receita'!F55/'Projeção Receita'!$D$55)</f>
        <v/>
      </c>
      <c r="F130" s="118">
        <f>$C130*('Projeção Receita'!G55/'Projeção Receita'!$D$55)</f>
        <v/>
      </c>
      <c r="G130" s="118">
        <f>$C130*('Projeção Receita'!H55/'Projeção Receita'!$D$55)</f>
        <v/>
      </c>
      <c r="H130" s="118">
        <f>$C130*('Projeção Receita'!I55/'Projeção Receita'!$D$55)</f>
        <v/>
      </c>
      <c r="I130" s="119">
        <f>I130/C130</f>
        <v/>
      </c>
    </row>
    <row r="131">
      <c r="A131" s="117" t="inlineStr">
        <is>
          <t>SE</t>
        </is>
      </c>
      <c r="B131" s="117" t="inlineStr">
        <is>
          <t>Brasilia  (cidade real: outro UF)</t>
        </is>
      </c>
      <c r="C131" s="118" t="n">
        <v>60533</v>
      </c>
      <c r="D131" s="118">
        <f>$C131*('Projeção Receita'!E55/'Projeção Receita'!$D$55)</f>
        <v/>
      </c>
      <c r="E131" s="118">
        <f>$C131*('Projeção Receita'!F55/'Projeção Receita'!$D$55)</f>
        <v/>
      </c>
      <c r="F131" s="118">
        <f>$C131*('Projeção Receita'!G55/'Projeção Receita'!$D$55)</f>
        <v/>
      </c>
      <c r="G131" s="118">
        <f>$C131*('Projeção Receita'!H55/'Projeção Receita'!$D$55)</f>
        <v/>
      </c>
      <c r="H131" s="118">
        <f>$C131*('Projeção Receita'!I55/'Projeção Receita'!$D$55)</f>
        <v/>
      </c>
      <c r="I131" s="119">
        <f>I131/C131</f>
        <v/>
      </c>
    </row>
    <row r="132">
      <c r="A132" s="117" t="inlineStr">
        <is>
          <t>SE</t>
        </is>
      </c>
      <c r="B132" s="117" t="inlineStr">
        <is>
          <t>Barueri  (cidade real: outro UF)</t>
        </is>
      </c>
      <c r="C132" s="118" t="n">
        <v>54942.55</v>
      </c>
      <c r="D132" s="118">
        <f>$C132*('Projeção Receita'!E55/'Projeção Receita'!$D$55)</f>
        <v/>
      </c>
      <c r="E132" s="118">
        <f>$C132*('Projeção Receita'!F55/'Projeção Receita'!$D$55)</f>
        <v/>
      </c>
      <c r="F132" s="118">
        <f>$C132*('Projeção Receita'!G55/'Projeção Receita'!$D$55)</f>
        <v/>
      </c>
      <c r="G132" s="118">
        <f>$C132*('Projeção Receita'!H55/'Projeção Receita'!$D$55)</f>
        <v/>
      </c>
      <c r="H132" s="118">
        <f>$C132*('Projeção Receita'!I55/'Projeção Receita'!$D$55)</f>
        <v/>
      </c>
      <c r="I132" s="119">
        <f>I132/C132</f>
        <v/>
      </c>
    </row>
    <row r="133">
      <c r="A133" s="117" t="inlineStr">
        <is>
          <t>SE</t>
        </is>
      </c>
      <c r="B133" s="117" t="inlineStr">
        <is>
          <t>Abadiania  (cidade real: outro UF)</t>
        </is>
      </c>
      <c r="C133" s="118" t="n">
        <v>45306</v>
      </c>
      <c r="D133" s="118">
        <f>$C133*('Projeção Receita'!E55/'Projeção Receita'!$D$55)</f>
        <v/>
      </c>
      <c r="E133" s="118">
        <f>$C133*('Projeção Receita'!F55/'Projeção Receita'!$D$55)</f>
        <v/>
      </c>
      <c r="F133" s="118">
        <f>$C133*('Projeção Receita'!G55/'Projeção Receita'!$D$55)</f>
        <v/>
      </c>
      <c r="G133" s="118">
        <f>$C133*('Projeção Receita'!H55/'Projeção Receita'!$D$55)</f>
        <v/>
      </c>
      <c r="H133" s="118">
        <f>$C133*('Projeção Receita'!I55/'Projeção Receita'!$D$55)</f>
        <v/>
      </c>
      <c r="I133" s="119">
        <f>I133/C133</f>
        <v/>
      </c>
    </row>
    <row r="134">
      <c r="A134" s="117" t="inlineStr">
        <is>
          <t>SE</t>
        </is>
      </c>
      <c r="B134" s="117" t="inlineStr">
        <is>
          <t>Salvador  (cidade real: outro UF)</t>
        </is>
      </c>
      <c r="C134" s="118" t="n">
        <v>43845.6</v>
      </c>
      <c r="D134" s="118">
        <f>$C134*('Projeção Receita'!E55/'Projeção Receita'!$D$55)</f>
        <v/>
      </c>
      <c r="E134" s="118">
        <f>$C134*('Projeção Receita'!F55/'Projeção Receita'!$D$55)</f>
        <v/>
      </c>
      <c r="F134" s="118">
        <f>$C134*('Projeção Receita'!G55/'Projeção Receita'!$D$55)</f>
        <v/>
      </c>
      <c r="G134" s="118">
        <f>$C134*('Projeção Receita'!H55/'Projeção Receita'!$D$55)</f>
        <v/>
      </c>
      <c r="H134" s="118">
        <f>$C134*('Projeção Receita'!I55/'Projeção Receita'!$D$55)</f>
        <v/>
      </c>
      <c r="I134" s="119">
        <f>I134/C134</f>
        <v/>
      </c>
    </row>
    <row r="135">
      <c r="A135" s="117" t="inlineStr">
        <is>
          <t>SE</t>
        </is>
      </c>
      <c r="B135" s="117" t="inlineStr">
        <is>
          <t>Curitiba  (cidade real: outro UF)</t>
        </is>
      </c>
      <c r="C135" s="118" t="n">
        <v>42268.75</v>
      </c>
      <c r="D135" s="118">
        <f>$C135*('Projeção Receita'!E55/'Projeção Receita'!$D$55)</f>
        <v/>
      </c>
      <c r="E135" s="118">
        <f>$C135*('Projeção Receita'!F55/'Projeção Receita'!$D$55)</f>
        <v/>
      </c>
      <c r="F135" s="118">
        <f>$C135*('Projeção Receita'!G55/'Projeção Receita'!$D$55)</f>
        <v/>
      </c>
      <c r="G135" s="118">
        <f>$C135*('Projeção Receita'!H55/'Projeção Receita'!$D$55)</f>
        <v/>
      </c>
      <c r="H135" s="118">
        <f>$C135*('Projeção Receita'!I55/'Projeção Receita'!$D$55)</f>
        <v/>
      </c>
      <c r="I135" s="119">
        <f>I135/C135</f>
        <v/>
      </c>
    </row>
    <row r="136">
      <c r="A136" s="117" t="inlineStr">
        <is>
          <t>SE</t>
        </is>
      </c>
      <c r="B136" s="117" t="inlineStr">
        <is>
          <t>Santa Barbara D Oeste  (cidade real: outro UF)</t>
        </is>
      </c>
      <c r="C136" s="118" t="n">
        <v>41976</v>
      </c>
      <c r="D136" s="118">
        <f>$C136*('Projeção Receita'!E55/'Projeção Receita'!$D$55)</f>
        <v/>
      </c>
      <c r="E136" s="118">
        <f>$C136*('Projeção Receita'!F55/'Projeção Receita'!$D$55)</f>
        <v/>
      </c>
      <c r="F136" s="118">
        <f>$C136*('Projeção Receita'!G55/'Projeção Receita'!$D$55)</f>
        <v/>
      </c>
      <c r="G136" s="118">
        <f>$C136*('Projeção Receita'!H55/'Projeção Receita'!$D$55)</f>
        <v/>
      </c>
      <c r="H136" s="118">
        <f>$C136*('Projeção Receita'!I55/'Projeção Receita'!$D$55)</f>
        <v/>
      </c>
      <c r="I136" s="119">
        <f>I136/C136</f>
        <v/>
      </c>
    </row>
    <row r="137">
      <c r="A137" s="117" t="inlineStr">
        <is>
          <t>SE</t>
        </is>
      </c>
      <c r="B137" s="117" t="inlineStr">
        <is>
          <t>Goiania  (cidade real: outro UF)</t>
        </is>
      </c>
      <c r="C137" s="118" t="n">
        <v>33922.75</v>
      </c>
      <c r="D137" s="118">
        <f>$C137*('Projeção Receita'!E55/'Projeção Receita'!$D$55)</f>
        <v/>
      </c>
      <c r="E137" s="118">
        <f>$C137*('Projeção Receita'!F55/'Projeção Receita'!$D$55)</f>
        <v/>
      </c>
      <c r="F137" s="118">
        <f>$C137*('Projeção Receita'!G55/'Projeção Receita'!$D$55)</f>
        <v/>
      </c>
      <c r="G137" s="118">
        <f>$C137*('Projeção Receita'!H55/'Projeção Receita'!$D$55)</f>
        <v/>
      </c>
      <c r="H137" s="118">
        <f>$C137*('Projeção Receita'!I55/'Projeção Receita'!$D$55)</f>
        <v/>
      </c>
      <c r="I137" s="119">
        <f>I137/C137</f>
        <v/>
      </c>
    </row>
    <row r="138">
      <c r="A138" s="117" t="inlineStr">
        <is>
          <t>SE</t>
        </is>
      </c>
      <c r="B138" s="117" t="inlineStr">
        <is>
          <t>Campinas  (cidade real: outro UF)</t>
        </is>
      </c>
      <c r="C138" s="118" t="n">
        <v>33654.83</v>
      </c>
      <c r="D138" s="118">
        <f>$C138*('Projeção Receita'!E55/'Projeção Receita'!$D$55)</f>
        <v/>
      </c>
      <c r="E138" s="118">
        <f>$C138*('Projeção Receita'!F55/'Projeção Receita'!$D$55)</f>
        <v/>
      </c>
      <c r="F138" s="118">
        <f>$C138*('Projeção Receita'!G55/'Projeção Receita'!$D$55)</f>
        <v/>
      </c>
      <c r="G138" s="118">
        <f>$C138*('Projeção Receita'!H55/'Projeção Receita'!$D$55)</f>
        <v/>
      </c>
      <c r="H138" s="118">
        <f>$C138*('Projeção Receita'!I55/'Projeção Receita'!$D$55)</f>
        <v/>
      </c>
      <c r="I138" s="119">
        <f>I138/C138</f>
        <v/>
      </c>
    </row>
    <row r="140" ht="44" customHeight="1">
      <c r="A140" s="120" t="inlineStr">
        <is>
          <t>Nota crítica: as "cidades" listadas sob o código 'SE' (São Paulo, Rio de Janeiro, Catanduva, Jundiaí etc.) são as MESMAS cidades já contabilizadas em SP/RJ/MG/GO/DF/BA/PR/SC acima — 'SE' aqui não é a UF Sergipe, é provavelmente um código de canal ou operação mal mapeado na base transacional. Estes R$ 1,703,371 (2025, nomeados) não devem ser somados ao total B2B sem antes confirmar com o time de dados se é duplicidade (já contado no estado real) ou uma operação genuinamente separada. Sinalizado desde a v1 da análise de mix — ainda não resolvido.</t>
        </is>
      </c>
    </row>
    <row r="142">
      <c r="A142" s="91" t="inlineStr">
        <is>
          <t>LEITURA E ALERTAS</t>
        </is>
      </c>
    </row>
    <row r="143">
      <c r="A143" s="46" t="inlineStr">
        <is>
          <t>Checagem — soma dos estados nomeados acima</t>
        </is>
      </c>
      <c r="C143" s="99">
        <f>C5+C47+C59+C73+C82+C89+C94+C99+C104+C109+C113+C117+C121</f>
        <v/>
      </c>
      <c r="D143" s="99">
        <f>D5+D47+D59+D73+D82+D89+D94+D99+D104+D109+D113+D117+D121</f>
        <v/>
      </c>
      <c r="E143" s="99">
        <f>E5+E47+E59+E73+E82+E89+E94+E99+E104+E109+E113+E117+E121</f>
        <v/>
      </c>
      <c r="F143" s="99">
        <f>F5+F47+F59+F73+F82+F89+F94+F99+F104+F109+F113+F117+F121</f>
        <v/>
      </c>
      <c r="G143" s="99">
        <f>G5+G47+G59+G73+G82+G89+G94+G99+G104+G109+G113+G117+G121</f>
        <v/>
      </c>
      <c r="H143" s="99">
        <f>H5+H47+H59+H73+H82+H89+H94+H99+H104+H109+H113+H117+H121</f>
        <v/>
      </c>
    </row>
    <row r="144">
      <c r="A144" s="46" t="inlineStr">
        <is>
          <t>Total B2B — todos os 27 estados (Projeção Receita, referência)</t>
        </is>
      </c>
      <c r="C144" s="99">
        <f>'Projeção Receita'!D5+'Projeção Receita'!D7+'Projeção Receita'!D9+'Projeção Receita'!D11+'Projeção Receita'!D13+'Projeção Receita'!D15+'Projeção Receita'!D17+'Projeção Receita'!D19+'Projeção Receita'!D21+'Projeção Receita'!D23+'Projeção Receita'!D25+'Projeção Receita'!D27+'Projeção Receita'!D29+'Projeção Receita'!D31+'Projeção Receita'!D33+'Projeção Receita'!D35+'Projeção Receita'!D37+'Projeção Receita'!D39+'Projeção Receita'!D41+'Projeção Receita'!D43+'Projeção Receita'!D45+'Projeção Receita'!D47+'Projeção Receita'!D49+'Projeção Receita'!D51+'Projeção Receita'!D53+'Projeção Receita'!D55+'Projeção Receita'!D57</f>
        <v/>
      </c>
      <c r="D144" s="99">
        <f>'Projeção Receita'!E5+'Projeção Receita'!E7+'Projeção Receita'!E9+'Projeção Receita'!E11+'Projeção Receita'!E13+'Projeção Receita'!E15+'Projeção Receita'!E17+'Projeção Receita'!E19+'Projeção Receita'!E21+'Projeção Receita'!E23+'Projeção Receita'!E25+'Projeção Receita'!E27+'Projeção Receita'!E29+'Projeção Receita'!E31+'Projeção Receita'!E33+'Projeção Receita'!E35+'Projeção Receita'!E37+'Projeção Receita'!E39+'Projeção Receita'!E41+'Projeção Receita'!E43+'Projeção Receita'!E45+'Projeção Receita'!E47+'Projeção Receita'!E49+'Projeção Receita'!E51+'Projeção Receita'!E53+'Projeção Receita'!E55+'Projeção Receita'!E57</f>
        <v/>
      </c>
      <c r="E144" s="99">
        <f>'Projeção Receita'!F5+'Projeção Receita'!F7+'Projeção Receita'!F9+'Projeção Receita'!F11+'Projeção Receita'!F13+'Projeção Receita'!F15+'Projeção Receita'!F17+'Projeção Receita'!F19+'Projeção Receita'!F21+'Projeção Receita'!F23+'Projeção Receita'!F25+'Projeção Receita'!F27+'Projeção Receita'!F29+'Projeção Receita'!F31+'Projeção Receita'!F33+'Projeção Receita'!F35+'Projeção Receita'!F37+'Projeção Receita'!F39+'Projeção Receita'!F41+'Projeção Receita'!F43+'Projeção Receita'!F45+'Projeção Receita'!F47+'Projeção Receita'!F49+'Projeção Receita'!F51+'Projeção Receita'!F53+'Projeção Receita'!F55+'Projeção Receita'!F57</f>
        <v/>
      </c>
      <c r="F144" s="99">
        <f>'Projeção Receita'!G5+'Projeção Receita'!G7+'Projeção Receita'!G9+'Projeção Receita'!G11+'Projeção Receita'!G13+'Projeção Receita'!G15+'Projeção Receita'!G17+'Projeção Receita'!G19+'Projeção Receita'!G21+'Projeção Receita'!G23+'Projeção Receita'!G25+'Projeção Receita'!G27+'Projeção Receita'!G29+'Projeção Receita'!G31+'Projeção Receita'!G33+'Projeção Receita'!G35+'Projeção Receita'!G37+'Projeção Receita'!G39+'Projeção Receita'!G41+'Projeção Receita'!G43+'Projeção Receita'!G45+'Projeção Receita'!G47+'Projeção Receita'!G49+'Projeção Receita'!G51+'Projeção Receita'!G53+'Projeção Receita'!G55+'Projeção Receita'!G57</f>
        <v/>
      </c>
      <c r="G144" s="99">
        <f>'Projeção Receita'!H5+'Projeção Receita'!H7+'Projeção Receita'!H9+'Projeção Receita'!H11+'Projeção Receita'!H13+'Projeção Receita'!H15+'Projeção Receita'!H17+'Projeção Receita'!H19+'Projeção Receita'!H21+'Projeção Receita'!H23+'Projeção Receita'!H25+'Projeção Receita'!H27+'Projeção Receita'!H29+'Projeção Receita'!H31+'Projeção Receita'!H33+'Projeção Receita'!H35+'Projeção Receita'!H37+'Projeção Receita'!H39+'Projeção Receita'!H41+'Projeção Receita'!H43+'Projeção Receita'!H45+'Projeção Receita'!H47+'Projeção Receita'!H49+'Projeção Receita'!H51+'Projeção Receita'!H53+'Projeção Receita'!H55+'Projeção Receita'!H57</f>
        <v/>
      </c>
      <c r="H144" s="99">
        <f>'Projeção Receita'!I5+'Projeção Receita'!I7+'Projeção Receita'!I9+'Projeção Receita'!I11+'Projeção Receita'!I13+'Projeção Receita'!I15+'Projeção Receita'!I17+'Projeção Receita'!I19+'Projeção Receita'!I21+'Projeção Receita'!I23+'Projeção Receita'!I25+'Projeção Receita'!I27+'Projeção Receita'!I29+'Projeção Receita'!I31+'Projeção Receita'!I33+'Projeção Receita'!I35+'Projeção Receita'!I37+'Projeção Receita'!I39+'Projeção Receita'!I41+'Projeção Receita'!I43+'Projeção Receita'!I45+'Projeção Receita'!I47+'Projeção Receita'!I49+'Projeção Receita'!I51+'Projeção Receita'!I53+'Projeção Receita'!I55+'Projeção Receita'!I57</f>
        <v/>
      </c>
    </row>
    <row r="146">
      <c r="A146" s="46" t="inlineStr">
        <is>
          <t>Principais leituras</t>
        </is>
      </c>
    </row>
    <row r="147" ht="46" customHeight="1">
      <c r="A147" s="85" t="inlineStr">
        <is>
          <t>•  13 estados com B2B relevante (&gt;R$40k em 2025) somam ~92% do B2B nacional — os demais 14 estados somam o restante, disperso em pequenos valores (ver 'Outras cidades do estado' e Projeção Receita).</t>
        </is>
      </c>
    </row>
    <row r="148" ht="46" customHeight="1">
      <c r="A148" s="85" t="inlineStr">
        <is>
          <t>•  Cidades pequenas com faturamento 2025 desproporcional ao porte — provável concentração em 1-2 clientes institucionais (hotel, evento, contrato único), não potencial de mercado amplo: Abadiânia/GO (R$538k), Guararema/SP (R$321k), Santa Cruz do Rio Pardo/SP (R$299k), Queluz/SP (R$269k), Estiva/MG (R$73k), Ribeirão Vermelho/MG (R$56k), Botelhos/MG (R$49k) — validar com o time comercial se o crescimento projetado (coluna 'Mult. 2030/2025') depende de expandir esse mesmo cliente ou de captar novos na região.</t>
        </is>
      </c>
    </row>
    <row r="149" ht="46" customHeight="1">
      <c r="A149" s="85" t="inlineStr">
        <is>
          <t>•  Cidades-polo (capitais e grandes centros: São Paulo, Rio de Janeiro, Belo Horizonte, Curitiba, Florianópolis, Brasília, Goiânia, Salvador, Recife) têm risco de saturação de potencial local menor — mercado maior absorve crescimento com mais folga.</t>
        </is>
      </c>
    </row>
    <row r="150" ht="46" customHeight="1">
      <c r="A150" s="85" t="inlineStr">
        <is>
          <t>•  O bloco 'SE' (R$2,6M em 2025) precisa de validação antes de entrar em qualquer decisão de priorização — pode já estar duplicado dentro de SP/RJ/outros estados.</t>
        </is>
      </c>
    </row>
    <row r="151" ht="46" customHeight="1">
      <c r="A151" s="85" t="inlineStr">
        <is>
          <t>•  Multiplicador 2030/2025 é IGUAL para todas as cidades do mesmo estado (mix interno mantido constante de 2025) — não é um sinal de risco por cidade individual, é o crescimento do estado. O risco real de "estourar o potencial local" está nas cidades pequenas com valor absoluto alto (ver bullet acima), não no multiplicador.</t>
        </is>
      </c>
    </row>
  </sheetData>
  <mergeCells count="8">
    <mergeCell ref="A148:I148"/>
    <mergeCell ref="A151:I151"/>
    <mergeCell ref="A2:I2"/>
    <mergeCell ref="A1:I1"/>
    <mergeCell ref="A149:I149"/>
    <mergeCell ref="A150:I150"/>
    <mergeCell ref="A140:I140"/>
    <mergeCell ref="A147:I1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0" zoomScale="10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PROJEÇÃO DE FUNCIONÁRIOS — POR ESTADO E FUNÇÃO</t>
        </is>
      </c>
    </row>
    <row r="2">
      <c r="A2" s="13" t="inlineStr">
        <is>
          <t>Regra: Varejo Direto (payroll Orfeu) apenas em SP/RJ — inclui Vendedor e Promotor/Abordador próprios. Demais estados = Representante terceiro (comissionado) e Promotores/Abordadores via agência externa — ambos fora da folha. Cidades-foco B2B → Comercial primeiro, depois Barista.</t>
        </is>
      </c>
    </row>
    <row r="3">
      <c r="A3" s="67" t="inlineStr">
        <is>
          <t>Nota: baseline 2025 de Vendedor Varejo Direto (SP=3, RJ=1) corrigido para bater com o headcount real no Organograma_Time_Comercial_SNomes.xlsx, aba Avaliação (Funcionários 4, 5, 6 em SP; Funcionário 8 no RJ).</t>
        </is>
      </c>
    </row>
    <row r="4">
      <c r="A4" s="8" t="inlineStr">
        <is>
          <t>UF</t>
        </is>
      </c>
      <c r="B4" s="8" t="inlineStr">
        <is>
          <t>Estado</t>
        </is>
      </c>
      <c r="C4" s="8" t="inlineStr">
        <is>
          <t>Função</t>
        </is>
      </c>
      <c r="D4" s="8" t="inlineStr">
        <is>
          <t>2025 (atual)</t>
        </is>
      </c>
      <c r="E4" s="8" t="inlineStr">
        <is>
          <t>2026</t>
        </is>
      </c>
      <c r="F4" s="8" t="inlineStr">
        <is>
          <t>2027</t>
        </is>
      </c>
      <c r="G4" s="8" t="inlineStr">
        <is>
          <t>2028</t>
        </is>
      </c>
      <c r="H4" s="8" t="inlineStr">
        <is>
          <t>2029</t>
        </is>
      </c>
      <c r="I4" s="8" t="inlineStr">
        <is>
          <t>2030</t>
        </is>
      </c>
    </row>
    <row r="5">
      <c r="A5" s="11" t="inlineStr">
        <is>
          <t>SP</t>
        </is>
      </c>
      <c r="B5" s="11" t="inlineStr">
        <is>
          <t>São Paulo</t>
        </is>
      </c>
      <c r="C5" s="11" t="inlineStr">
        <is>
          <t>Vendedor Varejo Direto (SP/RJ)</t>
        </is>
      </c>
      <c r="D5" s="11" t="n">
        <v>3</v>
      </c>
      <c r="E5" s="11">
        <f>$D$5+ROUNDDOWN(MAX(0,'Projeção Receita'!E4-'Projeção Receita'!$D$4)/Premissas!$B$14,0)</f>
        <v/>
      </c>
      <c r="F5" s="11">
        <f>$D$5+ROUNDDOWN(MAX(0,'Projeção Receita'!F4-'Projeção Receita'!$D$4)/Premissas!$B$14,0)</f>
        <v/>
      </c>
      <c r="G5" s="11">
        <f>$D$5+ROUNDDOWN(MAX(0,'Projeção Receita'!G4-'Projeção Receita'!$D$4)/Premissas!$B$14,0)</f>
        <v/>
      </c>
      <c r="H5" s="11">
        <f>$D$5+ROUNDDOWN(MAX(0,'Projeção Receita'!H4-'Projeção Receita'!$D$4)/Premissas!$B$14,0)</f>
        <v/>
      </c>
      <c r="I5" s="11">
        <f>$D$5+ROUNDDOWN(MAX(0,'Projeção Receita'!I4-'Projeção Receita'!$D$4)/Premissas!$B$14,0)</f>
        <v/>
      </c>
    </row>
    <row r="6">
      <c r="A6" s="11" t="inlineStr">
        <is>
          <t>SP</t>
        </is>
      </c>
      <c r="B6" s="11" t="inlineStr">
        <is>
          <t>São Paulo</t>
        </is>
      </c>
      <c r="C6" s="11" t="inlineStr">
        <is>
          <t>Promotor/Abordador Próprio (SP/RJ)</t>
        </is>
      </c>
      <c r="D6" s="11" t="n">
        <v>0</v>
      </c>
      <c r="E6" s="11">
        <f>ROUNDDOWN(MAX(0,('Projeção Receita'!E4-'Projeção Receita'!$D$4))/1000000*Premissas!$B$15,0)</f>
        <v/>
      </c>
      <c r="F6" s="11">
        <f>ROUNDDOWN(MAX(0,('Projeção Receita'!F4-'Projeção Receita'!$D$4))/1000000*Premissas!$B$15,0)</f>
        <v/>
      </c>
      <c r="G6" s="11">
        <f>ROUNDDOWN(MAX(0,('Projeção Receita'!G4-'Projeção Receita'!$D$4))/1000000*Premissas!$B$15,0)</f>
        <v/>
      </c>
      <c r="H6" s="11">
        <f>ROUNDDOWN(MAX(0,('Projeção Receita'!H4-'Projeção Receita'!$D$4))/1000000*Premissas!$B$15,0)</f>
        <v/>
      </c>
      <c r="I6" s="11">
        <f>ROUNDDOWN(MAX(0,('Projeção Receita'!I4-'Projeção Receita'!$D$4))/1000000*Premissas!$B$15,0)</f>
        <v/>
      </c>
    </row>
    <row r="7">
      <c r="A7" s="11" t="inlineStr">
        <is>
          <t>SP</t>
        </is>
      </c>
      <c r="B7" s="11" t="inlineStr">
        <is>
          <t>São Paulo</t>
        </is>
      </c>
      <c r="C7" s="11" t="inlineStr">
        <is>
          <t>Comercial (B2B)</t>
        </is>
      </c>
      <c r="D7" s="11" t="n">
        <v>3</v>
      </c>
      <c r="E7" s="11">
        <f>$D$7+ROUNDDOWN(MAX(0,'Projeção Receita'!E5-'Projeção Receita'!$D$5)/Premissas!$B$14,0)</f>
        <v/>
      </c>
      <c r="F7" s="11">
        <f>$D$7+ROUNDDOWN(MAX(0,'Projeção Receita'!F5-'Projeção Receita'!$D$5)/Premissas!$B$14,0)</f>
        <v/>
      </c>
      <c r="G7" s="11">
        <f>$D$7+ROUNDDOWN(MAX(0,'Projeção Receita'!G5-'Projeção Receita'!$D$5)/Premissas!$B$14,0)</f>
        <v/>
      </c>
      <c r="H7" s="11">
        <f>$D$7+ROUNDDOWN(MAX(0,'Projeção Receita'!H5-'Projeção Receita'!$D$5)/Premissas!$B$14,0)</f>
        <v/>
      </c>
      <c r="I7" s="11">
        <f>$D$7+ROUNDDOWN(MAX(0,'Projeção Receita'!I5-'Projeção Receita'!$D$5)/Premissas!$B$14,0)</f>
        <v/>
      </c>
    </row>
    <row r="8">
      <c r="A8" s="11" t="inlineStr">
        <is>
          <t>SP</t>
        </is>
      </c>
      <c r="B8" s="11" t="inlineStr">
        <is>
          <t>São Paulo</t>
        </is>
      </c>
      <c r="C8" s="11" t="inlineStr">
        <is>
          <t>Baristas (B2B)</t>
        </is>
      </c>
      <c r="D8" s="11" t="n">
        <v>4</v>
      </c>
      <c r="E8" s="11">
        <f>ROUNDUP(E7*Premissas!$B$16,0)</f>
        <v/>
      </c>
      <c r="F8" s="11">
        <f>ROUNDUP(F7*Premissas!$B$16,0)</f>
        <v/>
      </c>
      <c r="G8" s="11">
        <f>ROUNDUP(G7*Premissas!$B$16,0)</f>
        <v/>
      </c>
      <c r="H8" s="11">
        <f>ROUNDUP(H7*Premissas!$B$16,0)</f>
        <v/>
      </c>
      <c r="I8" s="11">
        <f>ROUNDUP(I7*Premissas!$B$16,0)</f>
        <v/>
      </c>
    </row>
    <row r="9">
      <c r="A9" s="11" t="inlineStr">
        <is>
          <t>RJ</t>
        </is>
      </c>
      <c r="B9" s="11" t="inlineStr">
        <is>
          <t>Rio de Janeiro</t>
        </is>
      </c>
      <c r="C9" s="11" t="inlineStr">
        <is>
          <t>Vendedor Varejo Direto (SP/RJ)</t>
        </is>
      </c>
      <c r="D9" s="11" t="n">
        <v>1</v>
      </c>
      <c r="E9" s="11">
        <f>$D$9+ROUNDDOWN(MAX(0,'Projeção Receita'!E6-'Projeção Receita'!$D$6)/Premissas!$B$14,0)</f>
        <v/>
      </c>
      <c r="F9" s="11">
        <f>$D$9+ROUNDDOWN(MAX(0,'Projeção Receita'!F6-'Projeção Receita'!$D$6)/Premissas!$B$14,0)</f>
        <v/>
      </c>
      <c r="G9" s="11">
        <f>$D$9+ROUNDDOWN(MAX(0,'Projeção Receita'!G6-'Projeção Receita'!$D$6)/Premissas!$B$14,0)</f>
        <v/>
      </c>
      <c r="H9" s="11">
        <f>$D$9+ROUNDDOWN(MAX(0,'Projeção Receita'!H6-'Projeção Receita'!$D$6)/Premissas!$B$14,0)</f>
        <v/>
      </c>
      <c r="I9" s="11">
        <f>$D$9+ROUNDDOWN(MAX(0,'Projeção Receita'!I6-'Projeção Receita'!$D$6)/Premissas!$B$14,0)</f>
        <v/>
      </c>
    </row>
    <row r="10">
      <c r="A10" s="11" t="inlineStr">
        <is>
          <t>RJ</t>
        </is>
      </c>
      <c r="B10" s="11" t="inlineStr">
        <is>
          <t>Rio de Janeiro</t>
        </is>
      </c>
      <c r="C10" s="11" t="inlineStr">
        <is>
          <t>Promotor/Abordador Próprio (SP/RJ)</t>
        </is>
      </c>
      <c r="D10" s="11" t="n">
        <v>0</v>
      </c>
      <c r="E10" s="11">
        <f>ROUNDDOWN(MAX(0,('Projeção Receita'!E6-'Projeção Receita'!$D$6))/1000000*Premissas!$B$15,0)</f>
        <v/>
      </c>
      <c r="F10" s="11">
        <f>ROUNDDOWN(MAX(0,('Projeção Receita'!F6-'Projeção Receita'!$D$6))/1000000*Premissas!$B$15,0)</f>
        <v/>
      </c>
      <c r="G10" s="11">
        <f>ROUNDDOWN(MAX(0,('Projeção Receita'!G6-'Projeção Receita'!$D$6))/1000000*Premissas!$B$15,0)</f>
        <v/>
      </c>
      <c r="H10" s="11">
        <f>ROUNDDOWN(MAX(0,('Projeção Receita'!H6-'Projeção Receita'!$D$6))/1000000*Premissas!$B$15,0)</f>
        <v/>
      </c>
      <c r="I10" s="11">
        <f>ROUNDDOWN(MAX(0,('Projeção Receita'!I6-'Projeção Receita'!$D$6))/1000000*Premissas!$B$15,0)</f>
        <v/>
      </c>
    </row>
    <row r="11">
      <c r="A11" s="11" t="inlineStr">
        <is>
          <t>RJ</t>
        </is>
      </c>
      <c r="B11" s="11" t="inlineStr">
        <is>
          <t>Rio de Janeiro</t>
        </is>
      </c>
      <c r="C11" s="11" t="inlineStr">
        <is>
          <t>Comercial (B2B)</t>
        </is>
      </c>
      <c r="D11" s="11" t="n">
        <v>2</v>
      </c>
      <c r="E11" s="11">
        <f>$D$11+ROUNDDOWN(MAX(0,'Projeção Receita'!E7-'Projeção Receita'!$D$7)/Premissas!$B$14,0)</f>
        <v/>
      </c>
      <c r="F11" s="11">
        <f>$D$11+ROUNDDOWN(MAX(0,'Projeção Receita'!F7-'Projeção Receita'!$D$7)/Premissas!$B$14,0)</f>
        <v/>
      </c>
      <c r="G11" s="11">
        <f>$D$11+ROUNDDOWN(MAX(0,'Projeção Receita'!G7-'Projeção Receita'!$D$7)/Premissas!$B$14,0)</f>
        <v/>
      </c>
      <c r="H11" s="11">
        <f>$D$11+ROUNDDOWN(MAX(0,'Projeção Receita'!H7-'Projeção Receita'!$D$7)/Premissas!$B$14,0)</f>
        <v/>
      </c>
      <c r="I11" s="11">
        <f>$D$11+ROUNDDOWN(MAX(0,'Projeção Receita'!I7-'Projeção Receita'!$D$7)/Premissas!$B$14,0)</f>
        <v/>
      </c>
    </row>
    <row r="12">
      <c r="A12" s="11" t="inlineStr">
        <is>
          <t>RJ</t>
        </is>
      </c>
      <c r="B12" s="11" t="inlineStr">
        <is>
          <t>Rio de Janeiro</t>
        </is>
      </c>
      <c r="C12" s="11" t="inlineStr">
        <is>
          <t>Baristas (B2B)</t>
        </is>
      </c>
      <c r="D12" s="11" t="n">
        <v>2</v>
      </c>
      <c r="E12" s="11">
        <f>ROUNDUP(E11*Premissas!$B$16,0)</f>
        <v/>
      </c>
      <c r="F12" s="11">
        <f>ROUNDUP(F11*Premissas!$B$16,0)</f>
        <v/>
      </c>
      <c r="G12" s="11">
        <f>ROUNDUP(G11*Premissas!$B$16,0)</f>
        <v/>
      </c>
      <c r="H12" s="11">
        <f>ROUNDUP(H11*Premissas!$B$16,0)</f>
        <v/>
      </c>
      <c r="I12" s="11">
        <f>ROUNDUP(I11*Premissas!$B$16,0)</f>
        <v/>
      </c>
    </row>
    <row r="13">
      <c r="A13" s="11" t="inlineStr">
        <is>
          <t>SC</t>
        </is>
      </c>
      <c r="B13" s="11" t="inlineStr">
        <is>
          <t>Santa Catarina</t>
        </is>
      </c>
      <c r="C13" s="11" t="inlineStr">
        <is>
          <t>Representante (Varejo terceiro)</t>
        </is>
      </c>
      <c r="D13" s="11" t="n">
        <v>1</v>
      </c>
      <c r="E13" s="11">
        <f>$D$13+ROUNDDOWN(MAX(0,'Projeção Receita'!E8-'Projeção Receita'!$D$8)/(Premissas!$B$14*Premissas!$B$75),0)</f>
        <v/>
      </c>
      <c r="F13" s="11">
        <f>$D$13+ROUNDDOWN(MAX(0,'Projeção Receita'!F8-'Projeção Receita'!$D$8)/(Premissas!$B$14*Premissas!$B$75),0)</f>
        <v/>
      </c>
      <c r="G13" s="11">
        <f>$D$13+ROUNDDOWN(MAX(0,'Projeção Receita'!G8-'Projeção Receita'!$D$8)/(Premissas!$B$14*Premissas!$B$75),0)</f>
        <v/>
      </c>
      <c r="H13" s="11">
        <f>$D$13+ROUNDDOWN(MAX(0,'Projeção Receita'!H8-'Projeção Receita'!$D$8)/(Premissas!$B$14*Premissas!$B$75),0)</f>
        <v/>
      </c>
      <c r="I13" s="11">
        <f>$D$13+ROUNDDOWN(MAX(0,'Projeção Receita'!I8-'Projeção Receita'!$D$8)/(Premissas!$B$14*Premissas!$B$75),0)</f>
        <v/>
      </c>
    </row>
    <row r="14">
      <c r="A14" s="11" t="inlineStr">
        <is>
          <t>SC</t>
        </is>
      </c>
      <c r="B14" s="11" t="inlineStr">
        <is>
          <t>Santa Catarina</t>
        </is>
      </c>
      <c r="C14" s="11" t="inlineStr">
        <is>
          <t>Promotores/Abordadores (via agência)</t>
        </is>
      </c>
      <c r="D14" s="11" t="n">
        <v>0</v>
      </c>
      <c r="E14" s="11">
        <f>ROUNDDOWN(MAX(0,('Projeção Receita'!E8-'Projeção Receita'!$D$8))/1000000*(Premissas!$B$15/Premissas!$B$76),0)</f>
        <v/>
      </c>
      <c r="F14" s="11">
        <f>ROUNDDOWN(MAX(0,('Projeção Receita'!F8-'Projeção Receita'!$D$8))/1000000*(Premissas!$B$15/Premissas!$B$76),0)</f>
        <v/>
      </c>
      <c r="G14" s="11">
        <f>ROUNDDOWN(MAX(0,('Projeção Receita'!G8-'Projeção Receita'!$D$8))/1000000*(Premissas!$B$15/Premissas!$B$76),0)</f>
        <v/>
      </c>
      <c r="H14" s="11">
        <f>ROUNDDOWN(MAX(0,('Projeção Receita'!H8-'Projeção Receita'!$D$8))/1000000*(Premissas!$B$15/Premissas!$B$76),0)</f>
        <v/>
      </c>
      <c r="I14" s="11">
        <f>ROUNDDOWN(MAX(0,('Projeção Receita'!I8-'Projeção Receita'!$D$8))/1000000*(Premissas!$B$15/Premissas!$B$76),0)</f>
        <v/>
      </c>
    </row>
    <row r="15">
      <c r="A15" s="11" t="inlineStr">
        <is>
          <t>SC</t>
        </is>
      </c>
      <c r="B15" s="11" t="inlineStr">
        <is>
          <t>Santa Catarina</t>
        </is>
      </c>
      <c r="C15" s="11" t="inlineStr">
        <is>
          <t>Comercial (B2B)</t>
        </is>
      </c>
      <c r="D15" s="11" t="n">
        <v>0</v>
      </c>
      <c r="E15" s="11">
        <f>$D$15+ROUNDDOWN(MAX(0,'Projeção Receita'!E9-'Projeção Receita'!$D$9)/(Premissas!$B$14*Premissas!$B$75),0)</f>
        <v/>
      </c>
      <c r="F15" s="11">
        <f>$D$15+ROUNDDOWN(MAX(0,'Projeção Receita'!F9-'Projeção Receita'!$D$9)/(Premissas!$B$14*Premissas!$B$75),0)</f>
        <v/>
      </c>
      <c r="G15" s="11">
        <f>$D$15+ROUNDDOWN(MAX(0,'Projeção Receita'!G9-'Projeção Receita'!$D$9)/(Premissas!$B$14*Premissas!$B$75),0)</f>
        <v/>
      </c>
      <c r="H15" s="11">
        <f>$D$15+ROUNDDOWN(MAX(0,'Projeção Receita'!H9-'Projeção Receita'!$D$9)/(Premissas!$B$14*Premissas!$B$75),0)</f>
        <v/>
      </c>
      <c r="I15" s="11">
        <f>$D$15+ROUNDDOWN(MAX(0,'Projeção Receita'!I9-'Projeção Receita'!$D$9)/(Premissas!$B$14*Premissas!$B$75),0)</f>
        <v/>
      </c>
    </row>
    <row r="16">
      <c r="A16" s="11" t="inlineStr">
        <is>
          <t>SC</t>
        </is>
      </c>
      <c r="B16" s="11" t="inlineStr">
        <is>
          <t>Santa Catarina</t>
        </is>
      </c>
      <c r="C16" s="11" t="inlineStr">
        <is>
          <t>Baristas (B2B)</t>
        </is>
      </c>
      <c r="D16" s="11" t="n">
        <v>0</v>
      </c>
      <c r="E16" s="11">
        <f>ROUNDUP(E15*Premissas!$B$16,0)</f>
        <v/>
      </c>
      <c r="F16" s="11">
        <f>ROUNDUP(F15*Premissas!$B$16,0)</f>
        <v/>
      </c>
      <c r="G16" s="11">
        <f>ROUNDUP(G15*Premissas!$B$16,0)</f>
        <v/>
      </c>
      <c r="H16" s="11">
        <f>ROUNDUP(H15*Premissas!$B$16,0)</f>
        <v/>
      </c>
      <c r="I16" s="11">
        <f>ROUNDUP(I15*Premissas!$B$16,0)</f>
        <v/>
      </c>
    </row>
    <row r="17">
      <c r="A17" s="11" t="inlineStr">
        <is>
          <t>DF</t>
        </is>
      </c>
      <c r="B17" s="11" t="inlineStr">
        <is>
          <t>Distrito Federal</t>
        </is>
      </c>
      <c r="C17" s="11" t="inlineStr">
        <is>
          <t>Representante (Varejo terceiro)</t>
        </is>
      </c>
      <c r="D17" s="11" t="n">
        <v>0</v>
      </c>
      <c r="E17" s="11">
        <f>$D$17+ROUNDDOWN(MAX(0,'Projeção Receita'!E10-'Projeção Receita'!$D$10)/(Premissas!$B$14*Premissas!$B$75),0)</f>
        <v/>
      </c>
      <c r="F17" s="11">
        <f>$D$17+ROUNDDOWN(MAX(0,'Projeção Receita'!F10-'Projeção Receita'!$D$10)/(Premissas!$B$14*Premissas!$B$75),0)</f>
        <v/>
      </c>
      <c r="G17" s="11">
        <f>$D$17+ROUNDDOWN(MAX(0,'Projeção Receita'!G10-'Projeção Receita'!$D$10)/(Premissas!$B$14*Premissas!$B$75),0)</f>
        <v/>
      </c>
      <c r="H17" s="11">
        <f>$D$17+ROUNDDOWN(MAX(0,'Projeção Receita'!H10-'Projeção Receita'!$D$10)/(Premissas!$B$14*Premissas!$B$75),0)</f>
        <v/>
      </c>
      <c r="I17" s="11">
        <f>$D$17+ROUNDDOWN(MAX(0,'Projeção Receita'!I10-'Projeção Receita'!$D$10)/(Premissas!$B$14*Premissas!$B$75),0)</f>
        <v/>
      </c>
    </row>
    <row r="18">
      <c r="A18" s="11" t="inlineStr">
        <is>
          <t>DF</t>
        </is>
      </c>
      <c r="B18" s="11" t="inlineStr">
        <is>
          <t>Distrito Federal</t>
        </is>
      </c>
      <c r="C18" s="11" t="inlineStr">
        <is>
          <t>Promotores/Abordadores (via agência)</t>
        </is>
      </c>
      <c r="D18" s="11" t="n">
        <v>0</v>
      </c>
      <c r="E18" s="11">
        <f>ROUNDDOWN(MAX(0,('Projeção Receita'!E10-'Projeção Receita'!$D$10))/1000000*(Premissas!$B$15/Premissas!$B$76),0)</f>
        <v/>
      </c>
      <c r="F18" s="11">
        <f>ROUNDDOWN(MAX(0,('Projeção Receita'!F10-'Projeção Receita'!$D$10))/1000000*(Premissas!$B$15/Premissas!$B$76),0)</f>
        <v/>
      </c>
      <c r="G18" s="11">
        <f>ROUNDDOWN(MAX(0,('Projeção Receita'!G10-'Projeção Receita'!$D$10))/1000000*(Premissas!$B$15/Premissas!$B$76),0)</f>
        <v/>
      </c>
      <c r="H18" s="11">
        <f>ROUNDDOWN(MAX(0,('Projeção Receita'!H10-'Projeção Receita'!$D$10))/1000000*(Premissas!$B$15/Premissas!$B$76),0)</f>
        <v/>
      </c>
      <c r="I18" s="11">
        <f>ROUNDDOWN(MAX(0,('Projeção Receita'!I10-'Projeção Receita'!$D$10))/1000000*(Premissas!$B$15/Premissas!$B$76),0)</f>
        <v/>
      </c>
    </row>
    <row r="19">
      <c r="A19" s="11" t="inlineStr">
        <is>
          <t>DF</t>
        </is>
      </c>
      <c r="B19" s="11" t="inlineStr">
        <is>
          <t>Distrito Federal</t>
        </is>
      </c>
      <c r="C19" s="11" t="inlineStr">
        <is>
          <t>Comercial (B2B)</t>
        </is>
      </c>
      <c r="D19" s="11" t="n">
        <v>1</v>
      </c>
      <c r="E19" s="11">
        <f>$D$19+ROUNDDOWN(MAX(0,'Projeção Receita'!E11-'Projeção Receita'!$D$11)/(Premissas!$B$14*Premissas!$B$75),0)</f>
        <v/>
      </c>
      <c r="F19" s="11">
        <f>$D$19+ROUNDDOWN(MAX(0,'Projeção Receita'!F11-'Projeção Receita'!$D$11)/(Premissas!$B$14*Premissas!$B$75),0)</f>
        <v/>
      </c>
      <c r="G19" s="11">
        <f>$D$19+ROUNDDOWN(MAX(0,'Projeção Receita'!G11-'Projeção Receita'!$D$11)/(Premissas!$B$14*Premissas!$B$75),0)</f>
        <v/>
      </c>
      <c r="H19" s="11">
        <f>$D$19+ROUNDDOWN(MAX(0,'Projeção Receita'!H11-'Projeção Receita'!$D$11)/(Premissas!$B$14*Premissas!$B$75),0)</f>
        <v/>
      </c>
      <c r="I19" s="11">
        <f>$D$19+ROUNDDOWN(MAX(0,'Projeção Receita'!I11-'Projeção Receita'!$D$11)/(Premissas!$B$14*Premissas!$B$75),0)</f>
        <v/>
      </c>
    </row>
    <row r="20">
      <c r="A20" s="11" t="inlineStr">
        <is>
          <t>DF</t>
        </is>
      </c>
      <c r="B20" s="11" t="inlineStr">
        <is>
          <t>Distrito Federal</t>
        </is>
      </c>
      <c r="C20" s="11" t="inlineStr">
        <is>
          <t>Baristas (B2B)</t>
        </is>
      </c>
      <c r="D20" s="11" t="n">
        <v>0</v>
      </c>
      <c r="E20" s="11">
        <f>ROUNDUP(E19*Premissas!$B$16,0)</f>
        <v/>
      </c>
      <c r="F20" s="11">
        <f>ROUNDUP(F19*Premissas!$B$16,0)</f>
        <v/>
      </c>
      <c r="G20" s="11">
        <f>ROUNDUP(G19*Premissas!$B$16,0)</f>
        <v/>
      </c>
      <c r="H20" s="11">
        <f>ROUNDUP(H19*Premissas!$B$16,0)</f>
        <v/>
      </c>
      <c r="I20" s="11">
        <f>ROUNDUP(I19*Premissas!$B$16,0)</f>
        <v/>
      </c>
    </row>
    <row r="21">
      <c r="A21" s="11" t="inlineStr">
        <is>
          <t>PR</t>
        </is>
      </c>
      <c r="B21" s="11" t="inlineStr">
        <is>
          <t>Paraná</t>
        </is>
      </c>
      <c r="C21" s="11" t="inlineStr">
        <is>
          <t>Representante (Varejo terceiro)</t>
        </is>
      </c>
      <c r="D21" s="11" t="n">
        <v>2</v>
      </c>
      <c r="E21" s="11">
        <f>$D$21+ROUNDDOWN(MAX(0,'Projeção Receita'!E12-'Projeção Receita'!$D$12)/(Premissas!$B$14*Premissas!$B$75),0)</f>
        <v/>
      </c>
      <c r="F21" s="11">
        <f>$D$21+ROUNDDOWN(MAX(0,'Projeção Receita'!F12-'Projeção Receita'!$D$12)/(Premissas!$B$14*Premissas!$B$75),0)</f>
        <v/>
      </c>
      <c r="G21" s="11">
        <f>$D$21+ROUNDDOWN(MAX(0,'Projeção Receita'!G12-'Projeção Receita'!$D$12)/(Premissas!$B$14*Premissas!$B$75),0)</f>
        <v/>
      </c>
      <c r="H21" s="11">
        <f>$D$21+ROUNDDOWN(MAX(0,'Projeção Receita'!H12-'Projeção Receita'!$D$12)/(Premissas!$B$14*Premissas!$B$75),0)</f>
        <v/>
      </c>
      <c r="I21" s="11">
        <f>$D$21+ROUNDDOWN(MAX(0,'Projeção Receita'!I12-'Projeção Receita'!$D$12)/(Premissas!$B$14*Premissas!$B$75),0)</f>
        <v/>
      </c>
    </row>
    <row r="22">
      <c r="A22" s="11" t="inlineStr">
        <is>
          <t>PR</t>
        </is>
      </c>
      <c r="B22" s="11" t="inlineStr">
        <is>
          <t>Paraná</t>
        </is>
      </c>
      <c r="C22" s="11" t="inlineStr">
        <is>
          <t>Promotores/Abordadores (via agência)</t>
        </is>
      </c>
      <c r="D22" s="11" t="n">
        <v>0</v>
      </c>
      <c r="E22" s="11">
        <f>ROUNDDOWN(MAX(0,('Projeção Receita'!E12-'Projeção Receita'!$D$12))/1000000*(Premissas!$B$15/Premissas!$B$76),0)</f>
        <v/>
      </c>
      <c r="F22" s="11">
        <f>ROUNDDOWN(MAX(0,('Projeção Receita'!F12-'Projeção Receita'!$D$12))/1000000*(Premissas!$B$15/Premissas!$B$76),0)</f>
        <v/>
      </c>
      <c r="G22" s="11">
        <f>ROUNDDOWN(MAX(0,('Projeção Receita'!G12-'Projeção Receita'!$D$12))/1000000*(Premissas!$B$15/Premissas!$B$76),0)</f>
        <v/>
      </c>
      <c r="H22" s="11">
        <f>ROUNDDOWN(MAX(0,('Projeção Receita'!H12-'Projeção Receita'!$D$12))/1000000*(Premissas!$B$15/Premissas!$B$76),0)</f>
        <v/>
      </c>
      <c r="I22" s="11">
        <f>ROUNDDOWN(MAX(0,('Projeção Receita'!I12-'Projeção Receita'!$D$12))/1000000*(Premissas!$B$15/Premissas!$B$76),0)</f>
        <v/>
      </c>
    </row>
    <row r="23">
      <c r="A23" s="11" t="inlineStr">
        <is>
          <t>PR</t>
        </is>
      </c>
      <c r="B23" s="11" t="inlineStr">
        <is>
          <t>Paraná</t>
        </is>
      </c>
      <c r="C23" s="11" t="inlineStr">
        <is>
          <t>Comercial (B2B)</t>
        </is>
      </c>
      <c r="D23" s="11" t="n">
        <v>0</v>
      </c>
      <c r="E23" s="11">
        <f>$D$23+ROUNDDOWN(MAX(0,'Projeção Receita'!E13-'Projeção Receita'!$D$13)/(Premissas!$B$14*Premissas!$B$75),0)</f>
        <v/>
      </c>
      <c r="F23" s="11">
        <f>$D$23+ROUNDDOWN(MAX(0,'Projeção Receita'!F13-'Projeção Receita'!$D$13)/(Premissas!$B$14*Premissas!$B$75),0)</f>
        <v/>
      </c>
      <c r="G23" s="11">
        <f>$D$23+ROUNDDOWN(MAX(0,'Projeção Receita'!G13-'Projeção Receita'!$D$13)/(Premissas!$B$14*Premissas!$B$75),0)</f>
        <v/>
      </c>
      <c r="H23" s="11">
        <f>$D$23+ROUNDDOWN(MAX(0,'Projeção Receita'!H13-'Projeção Receita'!$D$13)/(Premissas!$B$14*Premissas!$B$75),0)</f>
        <v/>
      </c>
      <c r="I23" s="11">
        <f>$D$23+ROUNDDOWN(MAX(0,'Projeção Receita'!I13-'Projeção Receita'!$D$13)/(Premissas!$B$14*Premissas!$B$75),0)</f>
        <v/>
      </c>
    </row>
    <row r="24">
      <c r="A24" s="11" t="inlineStr">
        <is>
          <t>PR</t>
        </is>
      </c>
      <c r="B24" s="11" t="inlineStr">
        <is>
          <t>Paraná</t>
        </is>
      </c>
      <c r="C24" s="11" t="inlineStr">
        <is>
          <t>Baristas (B2B)</t>
        </is>
      </c>
      <c r="D24" s="11" t="n">
        <v>0</v>
      </c>
      <c r="E24" s="11">
        <f>ROUNDUP(E23*Premissas!$B$16,0)</f>
        <v/>
      </c>
      <c r="F24" s="11">
        <f>ROUNDUP(F23*Premissas!$B$16,0)</f>
        <v/>
      </c>
      <c r="G24" s="11">
        <f>ROUNDUP(G23*Premissas!$B$16,0)</f>
        <v/>
      </c>
      <c r="H24" s="11">
        <f>ROUNDUP(H23*Premissas!$B$16,0)</f>
        <v/>
      </c>
      <c r="I24" s="11">
        <f>ROUNDUP(I23*Premissas!$B$16,0)</f>
        <v/>
      </c>
    </row>
    <row r="25">
      <c r="A25" s="11" t="inlineStr">
        <is>
          <t>RS</t>
        </is>
      </c>
      <c r="B25" s="11" t="inlineStr">
        <is>
          <t>Rio Grande do Sul</t>
        </is>
      </c>
      <c r="C25" s="11" t="inlineStr">
        <is>
          <t>Representante (Varejo terceiro)</t>
        </is>
      </c>
      <c r="D25" s="11" t="n">
        <v>1</v>
      </c>
      <c r="E25" s="11">
        <f>$D$25+ROUNDDOWN(MAX(0,'Projeção Receita'!E14-'Projeção Receita'!$D$14)/(Premissas!$B$14*Premissas!$B$75),0)</f>
        <v/>
      </c>
      <c r="F25" s="11">
        <f>$D$25+ROUNDDOWN(MAX(0,'Projeção Receita'!F14-'Projeção Receita'!$D$14)/(Premissas!$B$14*Premissas!$B$75),0)</f>
        <v/>
      </c>
      <c r="G25" s="11">
        <f>$D$25+ROUNDDOWN(MAX(0,'Projeção Receita'!G14-'Projeção Receita'!$D$14)/(Premissas!$B$14*Premissas!$B$75),0)</f>
        <v/>
      </c>
      <c r="H25" s="11">
        <f>$D$25+ROUNDDOWN(MAX(0,'Projeção Receita'!H14-'Projeção Receita'!$D$14)/(Premissas!$B$14*Premissas!$B$75),0)</f>
        <v/>
      </c>
      <c r="I25" s="11">
        <f>$D$25+ROUNDDOWN(MAX(0,'Projeção Receita'!I14-'Projeção Receita'!$D$14)/(Premissas!$B$14*Premissas!$B$75),0)</f>
        <v/>
      </c>
    </row>
    <row r="26">
      <c r="A26" s="11" t="inlineStr">
        <is>
          <t>RS</t>
        </is>
      </c>
      <c r="B26" s="11" t="inlineStr">
        <is>
          <t>Rio Grande do Sul</t>
        </is>
      </c>
      <c r="C26" s="11" t="inlineStr">
        <is>
          <t>Promotores/Abordadores (via agência)</t>
        </is>
      </c>
      <c r="D26" s="11" t="n">
        <v>0</v>
      </c>
      <c r="E26" s="11">
        <f>ROUNDDOWN(MAX(0,('Projeção Receita'!E14-'Projeção Receita'!$D$14))/1000000*(Premissas!$B$15/Premissas!$B$76),0)</f>
        <v/>
      </c>
      <c r="F26" s="11">
        <f>ROUNDDOWN(MAX(0,('Projeção Receita'!F14-'Projeção Receita'!$D$14))/1000000*(Premissas!$B$15/Premissas!$B$76),0)</f>
        <v/>
      </c>
      <c r="G26" s="11">
        <f>ROUNDDOWN(MAX(0,('Projeção Receita'!G14-'Projeção Receita'!$D$14))/1000000*(Premissas!$B$15/Premissas!$B$76),0)</f>
        <v/>
      </c>
      <c r="H26" s="11">
        <f>ROUNDDOWN(MAX(0,('Projeção Receita'!H14-'Projeção Receita'!$D$14))/1000000*(Premissas!$B$15/Premissas!$B$76),0)</f>
        <v/>
      </c>
      <c r="I26" s="11">
        <f>ROUNDDOWN(MAX(0,('Projeção Receita'!I14-'Projeção Receita'!$D$14))/1000000*(Premissas!$B$15/Premissas!$B$76),0)</f>
        <v/>
      </c>
    </row>
    <row r="27">
      <c r="A27" s="11" t="inlineStr">
        <is>
          <t>RS</t>
        </is>
      </c>
      <c r="B27" s="11" t="inlineStr">
        <is>
          <t>Rio Grande do Sul</t>
        </is>
      </c>
      <c r="C27" s="11" t="inlineStr">
        <is>
          <t>Comercial (B2B)</t>
        </is>
      </c>
      <c r="D27" s="11" t="n">
        <v>0</v>
      </c>
      <c r="E27" s="11">
        <f>$D$27+ROUNDDOWN(MAX(0,'Projeção Receita'!E15-'Projeção Receita'!$D$15)/(Premissas!$B$14*Premissas!$B$75),0)</f>
        <v/>
      </c>
      <c r="F27" s="11">
        <f>$D$27+ROUNDDOWN(MAX(0,'Projeção Receita'!F15-'Projeção Receita'!$D$15)/(Premissas!$B$14*Premissas!$B$75),0)</f>
        <v/>
      </c>
      <c r="G27" s="11">
        <f>$D$27+ROUNDDOWN(MAX(0,'Projeção Receita'!G15-'Projeção Receita'!$D$15)/(Premissas!$B$14*Premissas!$B$75),0)</f>
        <v/>
      </c>
      <c r="H27" s="11">
        <f>$D$27+ROUNDDOWN(MAX(0,'Projeção Receita'!H15-'Projeção Receita'!$D$15)/(Premissas!$B$14*Premissas!$B$75),0)</f>
        <v/>
      </c>
      <c r="I27" s="11">
        <f>$D$27+ROUNDDOWN(MAX(0,'Projeção Receita'!I15-'Projeção Receita'!$D$15)/(Premissas!$B$14*Premissas!$B$75),0)</f>
        <v/>
      </c>
    </row>
    <row r="28">
      <c r="A28" s="11" t="inlineStr">
        <is>
          <t>RS</t>
        </is>
      </c>
      <c r="B28" s="11" t="inlineStr">
        <is>
          <t>Rio Grande do Sul</t>
        </is>
      </c>
      <c r="C28" s="11" t="inlineStr">
        <is>
          <t>Baristas (B2B)</t>
        </is>
      </c>
      <c r="D28" s="11" t="n">
        <v>0</v>
      </c>
      <c r="E28" s="11">
        <f>ROUNDUP(E27*Premissas!$B$16,0)</f>
        <v/>
      </c>
      <c r="F28" s="11">
        <f>ROUNDUP(F27*Premissas!$B$16,0)</f>
        <v/>
      </c>
      <c r="G28" s="11">
        <f>ROUNDUP(G27*Premissas!$B$16,0)</f>
        <v/>
      </c>
      <c r="H28" s="11">
        <f>ROUNDUP(H27*Premissas!$B$16,0)</f>
        <v/>
      </c>
      <c r="I28" s="11">
        <f>ROUNDUP(I27*Premissas!$B$16,0)</f>
        <v/>
      </c>
    </row>
    <row r="29">
      <c r="A29" s="11" t="inlineStr">
        <is>
          <t>MG</t>
        </is>
      </c>
      <c r="B29" s="11" t="inlineStr">
        <is>
          <t>Minas Gerais</t>
        </is>
      </c>
      <c r="C29" s="11" t="inlineStr">
        <is>
          <t>Representante (Varejo terceiro)</t>
        </is>
      </c>
      <c r="D29" s="11" t="n">
        <v>0</v>
      </c>
      <c r="E29" s="11">
        <f>$D$29+ROUNDDOWN(MAX(0,'Projeção Receita'!E16-'Projeção Receita'!$D$16)/(Premissas!$B$14*Premissas!$B$75),0)</f>
        <v/>
      </c>
      <c r="F29" s="11">
        <f>$D$29+ROUNDDOWN(MAX(0,'Projeção Receita'!F16-'Projeção Receita'!$D$16)/(Premissas!$B$14*Premissas!$B$75),0)</f>
        <v/>
      </c>
      <c r="G29" s="11">
        <f>$D$29+ROUNDDOWN(MAX(0,'Projeção Receita'!G16-'Projeção Receita'!$D$16)/(Premissas!$B$14*Premissas!$B$75),0)</f>
        <v/>
      </c>
      <c r="H29" s="11">
        <f>$D$29+ROUNDDOWN(MAX(0,'Projeção Receita'!H16-'Projeção Receita'!$D$16)/(Premissas!$B$14*Premissas!$B$75),0)</f>
        <v/>
      </c>
      <c r="I29" s="11">
        <f>$D$29+ROUNDDOWN(MAX(0,'Projeção Receita'!I16-'Projeção Receita'!$D$16)/(Premissas!$B$14*Premissas!$B$75),0)</f>
        <v/>
      </c>
    </row>
    <row r="30">
      <c r="A30" s="11" t="inlineStr">
        <is>
          <t>MG</t>
        </is>
      </c>
      <c r="B30" s="11" t="inlineStr">
        <is>
          <t>Minas Gerais</t>
        </is>
      </c>
      <c r="C30" s="11" t="inlineStr">
        <is>
          <t>Promotores/Abordadores (via agência)</t>
        </is>
      </c>
      <c r="D30" s="11" t="n">
        <v>0</v>
      </c>
      <c r="E30" s="11">
        <f>ROUNDDOWN(MAX(0,('Projeção Receita'!E16-'Projeção Receita'!$D$16))/1000000*(Premissas!$B$15/Premissas!$B$76),0)</f>
        <v/>
      </c>
      <c r="F30" s="11">
        <f>ROUNDDOWN(MAX(0,('Projeção Receita'!F16-'Projeção Receita'!$D$16))/1000000*(Premissas!$B$15/Premissas!$B$76),0)</f>
        <v/>
      </c>
      <c r="G30" s="11">
        <f>ROUNDDOWN(MAX(0,('Projeção Receita'!G16-'Projeção Receita'!$D$16))/1000000*(Premissas!$B$15/Premissas!$B$76),0)</f>
        <v/>
      </c>
      <c r="H30" s="11">
        <f>ROUNDDOWN(MAX(0,('Projeção Receita'!H16-'Projeção Receita'!$D$16))/1000000*(Premissas!$B$15/Premissas!$B$76),0)</f>
        <v/>
      </c>
      <c r="I30" s="11">
        <f>ROUNDDOWN(MAX(0,('Projeção Receita'!I16-'Projeção Receita'!$D$16))/1000000*(Premissas!$B$15/Premissas!$B$76),0)</f>
        <v/>
      </c>
    </row>
    <row r="31">
      <c r="A31" s="11" t="inlineStr">
        <is>
          <t>MG</t>
        </is>
      </c>
      <c r="B31" s="11" t="inlineStr">
        <is>
          <t>Minas Gerais</t>
        </is>
      </c>
      <c r="C31" s="11" t="inlineStr">
        <is>
          <t>Comercial (B2B)</t>
        </is>
      </c>
      <c r="D31" s="11" t="n">
        <v>1</v>
      </c>
      <c r="E31" s="11">
        <f>$D$31+ROUNDDOWN(MAX(0,'Projeção Receita'!E17-'Projeção Receita'!$D$17)/(Premissas!$B$14*Premissas!$B$75),0)</f>
        <v/>
      </c>
      <c r="F31" s="11">
        <f>$D$31+ROUNDDOWN(MAX(0,'Projeção Receita'!F17-'Projeção Receita'!$D$17)/(Premissas!$B$14*Premissas!$B$75),0)</f>
        <v/>
      </c>
      <c r="G31" s="11">
        <f>$D$31+ROUNDDOWN(MAX(0,'Projeção Receita'!G17-'Projeção Receita'!$D$17)/(Premissas!$B$14*Premissas!$B$75),0)</f>
        <v/>
      </c>
      <c r="H31" s="11">
        <f>$D$31+ROUNDDOWN(MAX(0,'Projeção Receita'!H17-'Projeção Receita'!$D$17)/(Premissas!$B$14*Premissas!$B$75),0)</f>
        <v/>
      </c>
      <c r="I31" s="11">
        <f>$D$31+ROUNDDOWN(MAX(0,'Projeção Receita'!I17-'Projeção Receita'!$D$17)/(Premissas!$B$14*Premissas!$B$75),0)</f>
        <v/>
      </c>
    </row>
    <row r="32">
      <c r="A32" s="11" t="inlineStr">
        <is>
          <t>MG</t>
        </is>
      </c>
      <c r="B32" s="11" t="inlineStr">
        <is>
          <t>Minas Gerais</t>
        </is>
      </c>
      <c r="C32" s="11" t="inlineStr">
        <is>
          <t>Baristas (B2B)</t>
        </is>
      </c>
      <c r="D32" s="11" t="n">
        <v>0</v>
      </c>
      <c r="E32" s="11">
        <f>ROUNDUP(E31*Premissas!$B$16,0)</f>
        <v/>
      </c>
      <c r="F32" s="11">
        <f>ROUNDUP(F31*Premissas!$B$16,0)</f>
        <v/>
      </c>
      <c r="G32" s="11">
        <f>ROUNDUP(G31*Premissas!$B$16,0)</f>
        <v/>
      </c>
      <c r="H32" s="11">
        <f>ROUNDUP(H31*Premissas!$B$16,0)</f>
        <v/>
      </c>
      <c r="I32" s="11">
        <f>ROUNDUP(I31*Premissas!$B$16,0)</f>
        <v/>
      </c>
    </row>
    <row r="33">
      <c r="A33" s="11" t="inlineStr">
        <is>
          <t>ES</t>
        </is>
      </c>
      <c r="B33" s="11" t="inlineStr">
        <is>
          <t>Espírito Santo</t>
        </is>
      </c>
      <c r="C33" s="11" t="inlineStr">
        <is>
          <t>Representante (Varejo terceiro)</t>
        </is>
      </c>
      <c r="D33" s="11" t="n">
        <v>0</v>
      </c>
      <c r="E33" s="11">
        <f>$D$33+ROUNDDOWN(MAX(0,'Projeção Receita'!E18-'Projeção Receita'!$D$18)/(Premissas!$B$14*Premissas!$B$75),0)</f>
        <v/>
      </c>
      <c r="F33" s="11">
        <f>$D$33+ROUNDDOWN(MAX(0,'Projeção Receita'!F18-'Projeção Receita'!$D$18)/(Premissas!$B$14*Premissas!$B$75),0)</f>
        <v/>
      </c>
      <c r="G33" s="11">
        <f>$D$33+ROUNDDOWN(MAX(0,'Projeção Receita'!G18-'Projeção Receita'!$D$18)/(Premissas!$B$14*Premissas!$B$75),0)</f>
        <v/>
      </c>
      <c r="H33" s="11">
        <f>$D$33+ROUNDDOWN(MAX(0,'Projeção Receita'!H18-'Projeção Receita'!$D$18)/(Premissas!$B$14*Premissas!$B$75),0)</f>
        <v/>
      </c>
      <c r="I33" s="11">
        <f>$D$33+ROUNDDOWN(MAX(0,'Projeção Receita'!I18-'Projeção Receita'!$D$18)/(Premissas!$B$14*Premissas!$B$75),0)</f>
        <v/>
      </c>
    </row>
    <row r="34">
      <c r="A34" s="11" t="inlineStr">
        <is>
          <t>ES</t>
        </is>
      </c>
      <c r="B34" s="11" t="inlineStr">
        <is>
          <t>Espírito Santo</t>
        </is>
      </c>
      <c r="C34" s="11" t="inlineStr">
        <is>
          <t>Promotores/Abordadores (via agência)</t>
        </is>
      </c>
      <c r="D34" s="11" t="n">
        <v>0</v>
      </c>
      <c r="E34" s="11">
        <f>ROUNDDOWN(MAX(0,('Projeção Receita'!E18-'Projeção Receita'!$D$18))/1000000*(Premissas!$B$15/Premissas!$B$76),0)</f>
        <v/>
      </c>
      <c r="F34" s="11">
        <f>ROUNDDOWN(MAX(0,('Projeção Receita'!F18-'Projeção Receita'!$D$18))/1000000*(Premissas!$B$15/Premissas!$B$76),0)</f>
        <v/>
      </c>
      <c r="G34" s="11">
        <f>ROUNDDOWN(MAX(0,('Projeção Receita'!G18-'Projeção Receita'!$D$18))/1000000*(Premissas!$B$15/Premissas!$B$76),0)</f>
        <v/>
      </c>
      <c r="H34" s="11">
        <f>ROUNDDOWN(MAX(0,('Projeção Receita'!H18-'Projeção Receita'!$D$18))/1000000*(Premissas!$B$15/Premissas!$B$76),0)</f>
        <v/>
      </c>
      <c r="I34" s="11">
        <f>ROUNDDOWN(MAX(0,('Projeção Receita'!I18-'Projeção Receita'!$D$18))/1000000*(Premissas!$B$15/Premissas!$B$76),0)</f>
        <v/>
      </c>
    </row>
    <row r="35">
      <c r="A35" s="11" t="inlineStr">
        <is>
          <t>ES</t>
        </is>
      </c>
      <c r="B35" s="11" t="inlineStr">
        <is>
          <t>Espírito Santo</t>
        </is>
      </c>
      <c r="C35" s="11" t="inlineStr">
        <is>
          <t>Comercial (B2B)</t>
        </is>
      </c>
      <c r="D35" s="11" t="n">
        <v>0</v>
      </c>
      <c r="E35" s="11">
        <f>$D$35+ROUNDDOWN(MAX(0,'Projeção Receita'!E19-'Projeção Receita'!$D$19)/(Premissas!$B$14*Premissas!$B$75),0)</f>
        <v/>
      </c>
      <c r="F35" s="11">
        <f>$D$35+ROUNDDOWN(MAX(0,'Projeção Receita'!F19-'Projeção Receita'!$D$19)/(Premissas!$B$14*Premissas!$B$75),0)</f>
        <v/>
      </c>
      <c r="G35" s="11">
        <f>$D$35+ROUNDDOWN(MAX(0,'Projeção Receita'!G19-'Projeção Receita'!$D$19)/(Premissas!$B$14*Premissas!$B$75),0)</f>
        <v/>
      </c>
      <c r="H35" s="11">
        <f>$D$35+ROUNDDOWN(MAX(0,'Projeção Receita'!H19-'Projeção Receita'!$D$19)/(Premissas!$B$14*Premissas!$B$75),0)</f>
        <v/>
      </c>
      <c r="I35" s="11">
        <f>$D$35+ROUNDDOWN(MAX(0,'Projeção Receita'!I19-'Projeção Receita'!$D$19)/(Premissas!$B$14*Premissas!$B$75),0)</f>
        <v/>
      </c>
    </row>
    <row r="36">
      <c r="A36" s="11" t="inlineStr">
        <is>
          <t>ES</t>
        </is>
      </c>
      <c r="B36" s="11" t="inlineStr">
        <is>
          <t>Espírito Santo</t>
        </is>
      </c>
      <c r="C36" s="11" t="inlineStr">
        <is>
          <t>Baristas (B2B)</t>
        </is>
      </c>
      <c r="D36" s="11" t="n">
        <v>0</v>
      </c>
      <c r="E36" s="11">
        <f>ROUNDUP(E35*Premissas!$B$16,0)</f>
        <v/>
      </c>
      <c r="F36" s="11">
        <f>ROUNDUP(F35*Premissas!$B$16,0)</f>
        <v/>
      </c>
      <c r="G36" s="11">
        <f>ROUNDUP(G35*Premissas!$B$16,0)</f>
        <v/>
      </c>
      <c r="H36" s="11">
        <f>ROUNDUP(H35*Premissas!$B$16,0)</f>
        <v/>
      </c>
      <c r="I36" s="11">
        <f>ROUNDUP(I35*Premissas!$B$16,0)</f>
        <v/>
      </c>
    </row>
    <row r="37">
      <c r="A37" s="11" t="inlineStr">
        <is>
          <t>BA</t>
        </is>
      </c>
      <c r="B37" s="11" t="inlineStr">
        <is>
          <t>Bahia</t>
        </is>
      </c>
      <c r="C37" s="11" t="inlineStr">
        <is>
          <t>Representante (Varejo terceiro)</t>
        </is>
      </c>
      <c r="D37" s="11" t="n">
        <v>1</v>
      </c>
      <c r="E37" s="11">
        <f>$D$37+ROUNDDOWN(MAX(0,'Projeção Receita'!E20-'Projeção Receita'!$D$20)/(Premissas!$B$14*Premissas!$B$75),0)</f>
        <v/>
      </c>
      <c r="F37" s="11">
        <f>$D$37+ROUNDDOWN(MAX(0,'Projeção Receita'!F20-'Projeção Receita'!$D$20)/(Premissas!$B$14*Premissas!$B$75),0)</f>
        <v/>
      </c>
      <c r="G37" s="11">
        <f>$D$37+ROUNDDOWN(MAX(0,'Projeção Receita'!G20-'Projeção Receita'!$D$20)/(Premissas!$B$14*Premissas!$B$75),0)</f>
        <v/>
      </c>
      <c r="H37" s="11">
        <f>$D$37+ROUNDDOWN(MAX(0,'Projeção Receita'!H20-'Projeção Receita'!$D$20)/(Premissas!$B$14*Premissas!$B$75),0)</f>
        <v/>
      </c>
      <c r="I37" s="11">
        <f>$D$37+ROUNDDOWN(MAX(0,'Projeção Receita'!I20-'Projeção Receita'!$D$20)/(Premissas!$B$14*Premissas!$B$75),0)</f>
        <v/>
      </c>
    </row>
    <row r="38">
      <c r="A38" s="11" t="inlineStr">
        <is>
          <t>BA</t>
        </is>
      </c>
      <c r="B38" s="11" t="inlineStr">
        <is>
          <t>Bahia</t>
        </is>
      </c>
      <c r="C38" s="11" t="inlineStr">
        <is>
          <t>Promotores/Abordadores (via agência)</t>
        </is>
      </c>
      <c r="D38" s="11" t="n">
        <v>0</v>
      </c>
      <c r="E38" s="11">
        <f>ROUNDDOWN(MAX(0,('Projeção Receita'!E20-'Projeção Receita'!$D$20))/1000000*(Premissas!$B$15/Premissas!$B$76),0)</f>
        <v/>
      </c>
      <c r="F38" s="11">
        <f>ROUNDDOWN(MAX(0,('Projeção Receita'!F20-'Projeção Receita'!$D$20))/1000000*(Premissas!$B$15/Premissas!$B$76),0)</f>
        <v/>
      </c>
      <c r="G38" s="11">
        <f>ROUNDDOWN(MAX(0,('Projeção Receita'!G20-'Projeção Receita'!$D$20))/1000000*(Premissas!$B$15/Premissas!$B$76),0)</f>
        <v/>
      </c>
      <c r="H38" s="11">
        <f>ROUNDDOWN(MAX(0,('Projeção Receita'!H20-'Projeção Receita'!$D$20))/1000000*(Premissas!$B$15/Premissas!$B$76),0)</f>
        <v/>
      </c>
      <c r="I38" s="11">
        <f>ROUNDDOWN(MAX(0,('Projeção Receita'!I20-'Projeção Receita'!$D$20))/1000000*(Premissas!$B$15/Premissas!$B$76),0)</f>
        <v/>
      </c>
    </row>
    <row r="39">
      <c r="A39" s="11" t="inlineStr">
        <is>
          <t>BA</t>
        </is>
      </c>
      <c r="B39" s="11" t="inlineStr">
        <is>
          <t>Bahia</t>
        </is>
      </c>
      <c r="C39" s="11" t="inlineStr">
        <is>
          <t>Comercial (B2B)</t>
        </is>
      </c>
      <c r="D39" s="11" t="n">
        <v>0</v>
      </c>
      <c r="E39" s="11">
        <f>$D$39+ROUNDDOWN(MAX(0,'Projeção Receita'!E21-'Projeção Receita'!$D$21)/(Premissas!$B$14*Premissas!$B$75),0)</f>
        <v/>
      </c>
      <c r="F39" s="11">
        <f>$D$39+ROUNDDOWN(MAX(0,'Projeção Receita'!F21-'Projeção Receita'!$D$21)/(Premissas!$B$14*Premissas!$B$75),0)</f>
        <v/>
      </c>
      <c r="G39" s="11">
        <f>$D$39+ROUNDDOWN(MAX(0,'Projeção Receita'!G21-'Projeção Receita'!$D$21)/(Premissas!$B$14*Premissas!$B$75),0)</f>
        <v/>
      </c>
      <c r="H39" s="11">
        <f>$D$39+ROUNDDOWN(MAX(0,'Projeção Receita'!H21-'Projeção Receita'!$D$21)/(Premissas!$B$14*Premissas!$B$75),0)</f>
        <v/>
      </c>
      <c r="I39" s="11">
        <f>$D$39+ROUNDDOWN(MAX(0,'Projeção Receita'!I21-'Projeção Receita'!$D$21)/(Premissas!$B$14*Premissas!$B$75),0)</f>
        <v/>
      </c>
    </row>
    <row r="40">
      <c r="A40" s="11" t="inlineStr">
        <is>
          <t>BA</t>
        </is>
      </c>
      <c r="B40" s="11" t="inlineStr">
        <is>
          <t>Bahia</t>
        </is>
      </c>
      <c r="C40" s="11" t="inlineStr">
        <is>
          <t>Baristas (B2B)</t>
        </is>
      </c>
      <c r="D40" s="11" t="n">
        <v>0</v>
      </c>
      <c r="E40" s="11">
        <f>ROUNDUP(E39*Premissas!$B$16,0)</f>
        <v/>
      </c>
      <c r="F40" s="11">
        <f>ROUNDUP(F39*Premissas!$B$16,0)</f>
        <v/>
      </c>
      <c r="G40" s="11">
        <f>ROUNDUP(G39*Premissas!$B$16,0)</f>
        <v/>
      </c>
      <c r="H40" s="11">
        <f>ROUNDUP(H39*Premissas!$B$16,0)</f>
        <v/>
      </c>
      <c r="I40" s="11">
        <f>ROUNDUP(I39*Premissas!$B$16,0)</f>
        <v/>
      </c>
    </row>
    <row r="41">
      <c r="A41" s="11" t="inlineStr">
        <is>
          <t>CE</t>
        </is>
      </c>
      <c r="B41" s="11" t="inlineStr">
        <is>
          <t>Ceará</t>
        </is>
      </c>
      <c r="C41" s="11" t="inlineStr">
        <is>
          <t>Representante (Varejo terceiro)</t>
        </is>
      </c>
      <c r="D41" s="11" t="n">
        <v>0</v>
      </c>
      <c r="E41" s="11">
        <f>$D$41+ROUNDDOWN(MAX(0,'Projeção Receita'!E22-'Projeção Receita'!$D$22)/(Premissas!$B$14*Premissas!$B$75),0)</f>
        <v/>
      </c>
      <c r="F41" s="11">
        <f>$D$41+ROUNDDOWN(MAX(0,'Projeção Receita'!F22-'Projeção Receita'!$D$22)/(Premissas!$B$14*Premissas!$B$75),0)</f>
        <v/>
      </c>
      <c r="G41" s="11">
        <f>$D$41+ROUNDDOWN(MAX(0,'Projeção Receita'!G22-'Projeção Receita'!$D$22)/(Premissas!$B$14*Premissas!$B$75),0)</f>
        <v/>
      </c>
      <c r="H41" s="11">
        <f>$D$41+ROUNDDOWN(MAX(0,'Projeção Receita'!H22-'Projeção Receita'!$D$22)/(Premissas!$B$14*Premissas!$B$75),0)</f>
        <v/>
      </c>
      <c r="I41" s="11">
        <f>$D$41+ROUNDDOWN(MAX(0,'Projeção Receita'!I22-'Projeção Receita'!$D$22)/(Premissas!$B$14*Premissas!$B$75),0)</f>
        <v/>
      </c>
    </row>
    <row r="42">
      <c r="A42" s="11" t="inlineStr">
        <is>
          <t>CE</t>
        </is>
      </c>
      <c r="B42" s="11" t="inlineStr">
        <is>
          <t>Ceará</t>
        </is>
      </c>
      <c r="C42" s="11" t="inlineStr">
        <is>
          <t>Promotores/Abordadores (via agência)</t>
        </is>
      </c>
      <c r="D42" s="11" t="n">
        <v>0</v>
      </c>
      <c r="E42" s="11">
        <f>ROUNDDOWN(MAX(0,('Projeção Receita'!E22-'Projeção Receita'!$D$22))/1000000*(Premissas!$B$15/Premissas!$B$76),0)</f>
        <v/>
      </c>
      <c r="F42" s="11">
        <f>ROUNDDOWN(MAX(0,('Projeção Receita'!F22-'Projeção Receita'!$D$22))/1000000*(Premissas!$B$15/Premissas!$B$76),0)</f>
        <v/>
      </c>
      <c r="G42" s="11">
        <f>ROUNDDOWN(MAX(0,('Projeção Receita'!G22-'Projeção Receita'!$D$22))/1000000*(Premissas!$B$15/Premissas!$B$76),0)</f>
        <v/>
      </c>
      <c r="H42" s="11">
        <f>ROUNDDOWN(MAX(0,('Projeção Receita'!H22-'Projeção Receita'!$D$22))/1000000*(Premissas!$B$15/Premissas!$B$76),0)</f>
        <v/>
      </c>
      <c r="I42" s="11">
        <f>ROUNDDOWN(MAX(0,('Projeção Receita'!I22-'Projeção Receita'!$D$22))/1000000*(Premissas!$B$15/Premissas!$B$76),0)</f>
        <v/>
      </c>
    </row>
    <row r="43">
      <c r="A43" s="11" t="inlineStr">
        <is>
          <t>CE</t>
        </is>
      </c>
      <c r="B43" s="11" t="inlineStr">
        <is>
          <t>Ceará</t>
        </is>
      </c>
      <c r="C43" s="11" t="inlineStr">
        <is>
          <t>Comercial (B2B)</t>
        </is>
      </c>
      <c r="D43" s="11" t="n">
        <v>0</v>
      </c>
      <c r="E43" s="11">
        <f>$D$43+ROUNDDOWN(MAX(0,'Projeção Receita'!E23-'Projeção Receita'!$D$23)/(Premissas!$B$14*Premissas!$B$75),0)</f>
        <v/>
      </c>
      <c r="F43" s="11">
        <f>$D$43+ROUNDDOWN(MAX(0,'Projeção Receita'!F23-'Projeção Receita'!$D$23)/(Premissas!$B$14*Premissas!$B$75),0)</f>
        <v/>
      </c>
      <c r="G43" s="11">
        <f>$D$43+ROUNDDOWN(MAX(0,'Projeção Receita'!G23-'Projeção Receita'!$D$23)/(Premissas!$B$14*Premissas!$B$75),0)</f>
        <v/>
      </c>
      <c r="H43" s="11">
        <f>$D$43+ROUNDDOWN(MAX(0,'Projeção Receita'!H23-'Projeção Receita'!$D$23)/(Premissas!$B$14*Premissas!$B$75),0)</f>
        <v/>
      </c>
      <c r="I43" s="11">
        <f>$D$43+ROUNDDOWN(MAX(0,'Projeção Receita'!I23-'Projeção Receita'!$D$23)/(Premissas!$B$14*Premissas!$B$75),0)</f>
        <v/>
      </c>
    </row>
    <row r="44">
      <c r="A44" s="11" t="inlineStr">
        <is>
          <t>CE</t>
        </is>
      </c>
      <c r="B44" s="11" t="inlineStr">
        <is>
          <t>Ceará</t>
        </is>
      </c>
      <c r="C44" s="11" t="inlineStr">
        <is>
          <t>Baristas (B2B)</t>
        </is>
      </c>
      <c r="D44" s="11" t="n">
        <v>0</v>
      </c>
      <c r="E44" s="11">
        <f>ROUNDUP(E43*Premissas!$B$16,0)</f>
        <v/>
      </c>
      <c r="F44" s="11">
        <f>ROUNDUP(F43*Premissas!$B$16,0)</f>
        <v/>
      </c>
      <c r="G44" s="11">
        <f>ROUNDUP(G43*Premissas!$B$16,0)</f>
        <v/>
      </c>
      <c r="H44" s="11">
        <f>ROUNDUP(H43*Premissas!$B$16,0)</f>
        <v/>
      </c>
      <c r="I44" s="11">
        <f>ROUNDUP(I43*Premissas!$B$16,0)</f>
        <v/>
      </c>
    </row>
    <row r="45">
      <c r="A45" s="11" t="inlineStr">
        <is>
          <t>PE</t>
        </is>
      </c>
      <c r="B45" s="11" t="inlineStr">
        <is>
          <t>Pernambuco</t>
        </is>
      </c>
      <c r="C45" s="11" t="inlineStr">
        <is>
          <t>Representante (Varejo terceiro)</t>
        </is>
      </c>
      <c r="D45" s="11" t="n">
        <v>0</v>
      </c>
      <c r="E45" s="11">
        <f>$D$45+ROUNDDOWN(MAX(0,'Projeção Receita'!E24-'Projeção Receita'!$D$24)/(Premissas!$B$14*Premissas!$B$75),0)</f>
        <v/>
      </c>
      <c r="F45" s="11">
        <f>$D$45+ROUNDDOWN(MAX(0,'Projeção Receita'!F24-'Projeção Receita'!$D$24)/(Premissas!$B$14*Premissas!$B$75),0)</f>
        <v/>
      </c>
      <c r="G45" s="11">
        <f>$D$45+ROUNDDOWN(MAX(0,'Projeção Receita'!G24-'Projeção Receita'!$D$24)/(Premissas!$B$14*Premissas!$B$75),0)</f>
        <v/>
      </c>
      <c r="H45" s="11">
        <f>$D$45+ROUNDDOWN(MAX(0,'Projeção Receita'!H24-'Projeção Receita'!$D$24)/(Premissas!$B$14*Premissas!$B$75),0)</f>
        <v/>
      </c>
      <c r="I45" s="11">
        <f>$D$45+ROUNDDOWN(MAX(0,'Projeção Receita'!I24-'Projeção Receita'!$D$24)/(Premissas!$B$14*Premissas!$B$75),0)</f>
        <v/>
      </c>
    </row>
    <row r="46">
      <c r="A46" s="11" t="inlineStr">
        <is>
          <t>PE</t>
        </is>
      </c>
      <c r="B46" s="11" t="inlineStr">
        <is>
          <t>Pernambuco</t>
        </is>
      </c>
      <c r="C46" s="11" t="inlineStr">
        <is>
          <t>Promotores/Abordadores (via agência)</t>
        </is>
      </c>
      <c r="D46" s="11" t="n">
        <v>0</v>
      </c>
      <c r="E46" s="11">
        <f>ROUNDDOWN(MAX(0,('Projeção Receita'!E24-'Projeção Receita'!$D$24))/1000000*(Premissas!$B$15/Premissas!$B$76),0)</f>
        <v/>
      </c>
      <c r="F46" s="11">
        <f>ROUNDDOWN(MAX(0,('Projeção Receita'!F24-'Projeção Receita'!$D$24))/1000000*(Premissas!$B$15/Premissas!$B$76),0)</f>
        <v/>
      </c>
      <c r="G46" s="11">
        <f>ROUNDDOWN(MAX(0,('Projeção Receita'!G24-'Projeção Receita'!$D$24))/1000000*(Premissas!$B$15/Premissas!$B$76),0)</f>
        <v/>
      </c>
      <c r="H46" s="11">
        <f>ROUNDDOWN(MAX(0,('Projeção Receita'!H24-'Projeção Receita'!$D$24))/1000000*(Premissas!$B$15/Premissas!$B$76),0)</f>
        <v/>
      </c>
      <c r="I46" s="11">
        <f>ROUNDDOWN(MAX(0,('Projeção Receita'!I24-'Projeção Receita'!$D$24))/1000000*(Premissas!$B$15/Premissas!$B$76),0)</f>
        <v/>
      </c>
    </row>
    <row r="47">
      <c r="A47" s="11" t="inlineStr">
        <is>
          <t>PE</t>
        </is>
      </c>
      <c r="B47" s="11" t="inlineStr">
        <is>
          <t>Pernambuco</t>
        </is>
      </c>
      <c r="C47" s="11" t="inlineStr">
        <is>
          <t>Comercial (B2B)</t>
        </is>
      </c>
      <c r="D47" s="11" t="n">
        <v>0</v>
      </c>
      <c r="E47" s="11">
        <f>$D$47+ROUNDDOWN(MAX(0,'Projeção Receita'!E25-'Projeção Receita'!$D$25)/(Premissas!$B$14*Premissas!$B$75),0)</f>
        <v/>
      </c>
      <c r="F47" s="11">
        <f>$D$47+ROUNDDOWN(MAX(0,'Projeção Receita'!F25-'Projeção Receita'!$D$25)/(Premissas!$B$14*Premissas!$B$75),0)</f>
        <v/>
      </c>
      <c r="G47" s="11">
        <f>$D$47+ROUNDDOWN(MAX(0,'Projeção Receita'!G25-'Projeção Receita'!$D$25)/(Premissas!$B$14*Premissas!$B$75),0)</f>
        <v/>
      </c>
      <c r="H47" s="11">
        <f>$D$47+ROUNDDOWN(MAX(0,'Projeção Receita'!H25-'Projeção Receita'!$D$25)/(Premissas!$B$14*Premissas!$B$75),0)</f>
        <v/>
      </c>
      <c r="I47" s="11">
        <f>$D$47+ROUNDDOWN(MAX(0,'Projeção Receita'!I25-'Projeção Receita'!$D$25)/(Premissas!$B$14*Premissas!$B$75),0)</f>
        <v/>
      </c>
    </row>
    <row r="48">
      <c r="A48" s="11" t="inlineStr">
        <is>
          <t>PE</t>
        </is>
      </c>
      <c r="B48" s="11" t="inlineStr">
        <is>
          <t>Pernambuco</t>
        </is>
      </c>
      <c r="C48" s="11" t="inlineStr">
        <is>
          <t>Baristas (B2B)</t>
        </is>
      </c>
      <c r="D48" s="11" t="n">
        <v>0</v>
      </c>
      <c r="E48" s="11">
        <f>ROUNDUP(E47*Premissas!$B$16,0)</f>
        <v/>
      </c>
      <c r="F48" s="11">
        <f>ROUNDUP(F47*Premissas!$B$16,0)</f>
        <v/>
      </c>
      <c r="G48" s="11">
        <f>ROUNDUP(G47*Premissas!$B$16,0)</f>
        <v/>
      </c>
      <c r="H48" s="11">
        <f>ROUNDUP(H47*Premissas!$B$16,0)</f>
        <v/>
      </c>
      <c r="I48" s="11">
        <f>ROUNDUP(I47*Premissas!$B$16,0)</f>
        <v/>
      </c>
    </row>
    <row r="49">
      <c r="A49" s="11" t="inlineStr">
        <is>
          <t>MS</t>
        </is>
      </c>
      <c r="B49" s="11" t="inlineStr">
        <is>
          <t>Mato Grosso do Sul</t>
        </is>
      </c>
      <c r="C49" s="11" t="inlineStr">
        <is>
          <t>Representante (Varejo terceiro)</t>
        </is>
      </c>
      <c r="D49" s="11" t="n">
        <v>0</v>
      </c>
      <c r="E49" s="11">
        <f>$D$49+ROUNDDOWN(MAX(0,'Projeção Receita'!E26-'Projeção Receita'!$D$26)/(Premissas!$B$14*Premissas!$B$75),0)</f>
        <v/>
      </c>
      <c r="F49" s="11">
        <f>$D$49+ROUNDDOWN(MAX(0,'Projeção Receita'!F26-'Projeção Receita'!$D$26)/(Premissas!$B$14*Premissas!$B$75),0)</f>
        <v/>
      </c>
      <c r="G49" s="11">
        <f>$D$49+ROUNDDOWN(MAX(0,'Projeção Receita'!G26-'Projeção Receita'!$D$26)/(Premissas!$B$14*Premissas!$B$75),0)</f>
        <v/>
      </c>
      <c r="H49" s="11">
        <f>$D$49+ROUNDDOWN(MAX(0,'Projeção Receita'!H26-'Projeção Receita'!$D$26)/(Premissas!$B$14*Premissas!$B$75),0)</f>
        <v/>
      </c>
      <c r="I49" s="11">
        <f>$D$49+ROUNDDOWN(MAX(0,'Projeção Receita'!I26-'Projeção Receita'!$D$26)/(Premissas!$B$14*Premissas!$B$75),0)</f>
        <v/>
      </c>
    </row>
    <row r="50">
      <c r="A50" s="11" t="inlineStr">
        <is>
          <t>MS</t>
        </is>
      </c>
      <c r="B50" s="11" t="inlineStr">
        <is>
          <t>Mato Grosso do Sul</t>
        </is>
      </c>
      <c r="C50" s="11" t="inlineStr">
        <is>
          <t>Promotores/Abordadores (via agência)</t>
        </is>
      </c>
      <c r="D50" s="11" t="n">
        <v>0</v>
      </c>
      <c r="E50" s="11">
        <f>ROUNDDOWN(MAX(0,('Projeção Receita'!E26-'Projeção Receita'!$D$26))/1000000*(Premissas!$B$15/Premissas!$B$76),0)</f>
        <v/>
      </c>
      <c r="F50" s="11">
        <f>ROUNDDOWN(MAX(0,('Projeção Receita'!F26-'Projeção Receita'!$D$26))/1000000*(Premissas!$B$15/Premissas!$B$76),0)</f>
        <v/>
      </c>
      <c r="G50" s="11">
        <f>ROUNDDOWN(MAX(0,('Projeção Receita'!G26-'Projeção Receita'!$D$26))/1000000*(Premissas!$B$15/Premissas!$B$76),0)</f>
        <v/>
      </c>
      <c r="H50" s="11">
        <f>ROUNDDOWN(MAX(0,('Projeção Receita'!H26-'Projeção Receita'!$D$26))/1000000*(Premissas!$B$15/Premissas!$B$76),0)</f>
        <v/>
      </c>
      <c r="I50" s="11">
        <f>ROUNDDOWN(MAX(0,('Projeção Receita'!I26-'Projeção Receita'!$D$26))/1000000*(Premissas!$B$15/Premissas!$B$76),0)</f>
        <v/>
      </c>
    </row>
    <row r="51">
      <c r="A51" s="11" t="inlineStr">
        <is>
          <t>MS</t>
        </is>
      </c>
      <c r="B51" s="11" t="inlineStr">
        <is>
          <t>Mato Grosso do Sul</t>
        </is>
      </c>
      <c r="C51" s="11" t="inlineStr">
        <is>
          <t>Comercial (B2B)</t>
        </is>
      </c>
      <c r="D51" s="11" t="n">
        <v>0</v>
      </c>
      <c r="E51" s="11">
        <f>$D$51+ROUNDDOWN(MAX(0,'Projeção Receita'!E27-'Projeção Receita'!$D$27)/(Premissas!$B$14*Premissas!$B$75),0)</f>
        <v/>
      </c>
      <c r="F51" s="11">
        <f>$D$51+ROUNDDOWN(MAX(0,'Projeção Receita'!F27-'Projeção Receita'!$D$27)/(Premissas!$B$14*Premissas!$B$75),0)</f>
        <v/>
      </c>
      <c r="G51" s="11">
        <f>$D$51+ROUNDDOWN(MAX(0,'Projeção Receita'!G27-'Projeção Receita'!$D$27)/(Premissas!$B$14*Premissas!$B$75),0)</f>
        <v/>
      </c>
      <c r="H51" s="11">
        <f>$D$51+ROUNDDOWN(MAX(0,'Projeção Receita'!H27-'Projeção Receita'!$D$27)/(Premissas!$B$14*Premissas!$B$75),0)</f>
        <v/>
      </c>
      <c r="I51" s="11">
        <f>$D$51+ROUNDDOWN(MAX(0,'Projeção Receita'!I27-'Projeção Receita'!$D$27)/(Premissas!$B$14*Premissas!$B$75),0)</f>
        <v/>
      </c>
    </row>
    <row r="52">
      <c r="A52" s="11" t="inlineStr">
        <is>
          <t>MS</t>
        </is>
      </c>
      <c r="B52" s="11" t="inlineStr">
        <is>
          <t>Mato Grosso do Sul</t>
        </is>
      </c>
      <c r="C52" s="11" t="inlineStr">
        <is>
          <t>Baristas (B2B)</t>
        </is>
      </c>
      <c r="D52" s="11" t="n">
        <v>0</v>
      </c>
      <c r="E52" s="11">
        <f>ROUNDUP(E51*Premissas!$B$16,0)</f>
        <v/>
      </c>
      <c r="F52" s="11">
        <f>ROUNDUP(F51*Premissas!$B$16,0)</f>
        <v/>
      </c>
      <c r="G52" s="11">
        <f>ROUNDUP(G51*Premissas!$B$16,0)</f>
        <v/>
      </c>
      <c r="H52" s="11">
        <f>ROUNDUP(H51*Premissas!$B$16,0)</f>
        <v/>
      </c>
      <c r="I52" s="11">
        <f>ROUNDUP(I51*Premissas!$B$16,0)</f>
        <v/>
      </c>
    </row>
    <row r="53">
      <c r="A53" s="11" t="inlineStr">
        <is>
          <t>MT</t>
        </is>
      </c>
      <c r="B53" s="11" t="inlineStr">
        <is>
          <t>Mato Grosso</t>
        </is>
      </c>
      <c r="C53" s="11" t="inlineStr">
        <is>
          <t>Representante (Varejo terceiro)</t>
        </is>
      </c>
      <c r="D53" s="11" t="n">
        <v>0</v>
      </c>
      <c r="E53" s="11">
        <f>$D$53+ROUNDDOWN(MAX(0,'Projeção Receita'!E28-'Projeção Receita'!$D$28)/(Premissas!$B$14*Premissas!$B$75),0)</f>
        <v/>
      </c>
      <c r="F53" s="11">
        <f>$D$53+ROUNDDOWN(MAX(0,'Projeção Receita'!F28-'Projeção Receita'!$D$28)/(Premissas!$B$14*Premissas!$B$75),0)</f>
        <v/>
      </c>
      <c r="G53" s="11">
        <f>$D$53+ROUNDDOWN(MAX(0,'Projeção Receita'!G28-'Projeção Receita'!$D$28)/(Premissas!$B$14*Premissas!$B$75),0)</f>
        <v/>
      </c>
      <c r="H53" s="11">
        <f>$D$53+ROUNDDOWN(MAX(0,'Projeção Receita'!H28-'Projeção Receita'!$D$28)/(Premissas!$B$14*Premissas!$B$75),0)</f>
        <v/>
      </c>
      <c r="I53" s="11">
        <f>$D$53+ROUNDDOWN(MAX(0,'Projeção Receita'!I28-'Projeção Receita'!$D$28)/(Premissas!$B$14*Premissas!$B$75),0)</f>
        <v/>
      </c>
    </row>
    <row r="54">
      <c r="A54" s="11" t="inlineStr">
        <is>
          <t>MT</t>
        </is>
      </c>
      <c r="B54" s="11" t="inlineStr">
        <is>
          <t>Mato Grosso</t>
        </is>
      </c>
      <c r="C54" s="11" t="inlineStr">
        <is>
          <t>Promotores/Abordadores (via agência)</t>
        </is>
      </c>
      <c r="D54" s="11" t="n">
        <v>0</v>
      </c>
      <c r="E54" s="11">
        <f>ROUNDDOWN(MAX(0,('Projeção Receita'!E28-'Projeção Receita'!$D$28))/1000000*(Premissas!$B$15/Premissas!$B$76),0)</f>
        <v/>
      </c>
      <c r="F54" s="11">
        <f>ROUNDDOWN(MAX(0,('Projeção Receita'!F28-'Projeção Receita'!$D$28))/1000000*(Premissas!$B$15/Premissas!$B$76),0)</f>
        <v/>
      </c>
      <c r="G54" s="11">
        <f>ROUNDDOWN(MAX(0,('Projeção Receita'!G28-'Projeção Receita'!$D$28))/1000000*(Premissas!$B$15/Premissas!$B$76),0)</f>
        <v/>
      </c>
      <c r="H54" s="11">
        <f>ROUNDDOWN(MAX(0,('Projeção Receita'!H28-'Projeção Receita'!$D$28))/1000000*(Premissas!$B$15/Premissas!$B$76),0)</f>
        <v/>
      </c>
      <c r="I54" s="11">
        <f>ROUNDDOWN(MAX(0,('Projeção Receita'!I28-'Projeção Receita'!$D$28))/1000000*(Premissas!$B$15/Premissas!$B$76),0)</f>
        <v/>
      </c>
    </row>
    <row r="55">
      <c r="A55" s="11" t="inlineStr">
        <is>
          <t>MT</t>
        </is>
      </c>
      <c r="B55" s="11" t="inlineStr">
        <is>
          <t>Mato Grosso</t>
        </is>
      </c>
      <c r="C55" s="11" t="inlineStr">
        <is>
          <t>Comercial (B2B)</t>
        </is>
      </c>
      <c r="D55" s="11" t="n">
        <v>0</v>
      </c>
      <c r="E55" s="11">
        <f>$D$55+ROUNDDOWN(MAX(0,'Projeção Receita'!E29-'Projeção Receita'!$D$29)/(Premissas!$B$14*Premissas!$B$75),0)</f>
        <v/>
      </c>
      <c r="F55" s="11">
        <f>$D$55+ROUNDDOWN(MAX(0,'Projeção Receita'!F29-'Projeção Receita'!$D$29)/(Premissas!$B$14*Premissas!$B$75),0)</f>
        <v/>
      </c>
      <c r="G55" s="11">
        <f>$D$55+ROUNDDOWN(MAX(0,'Projeção Receita'!G29-'Projeção Receita'!$D$29)/(Premissas!$B$14*Premissas!$B$75),0)</f>
        <v/>
      </c>
      <c r="H55" s="11">
        <f>$D$55+ROUNDDOWN(MAX(0,'Projeção Receita'!H29-'Projeção Receita'!$D$29)/(Premissas!$B$14*Premissas!$B$75),0)</f>
        <v/>
      </c>
      <c r="I55" s="11">
        <f>$D$55+ROUNDDOWN(MAX(0,'Projeção Receita'!I29-'Projeção Receita'!$D$29)/(Premissas!$B$14*Premissas!$B$75),0)</f>
        <v/>
      </c>
    </row>
    <row r="56">
      <c r="A56" s="11" t="inlineStr">
        <is>
          <t>MT</t>
        </is>
      </c>
      <c r="B56" s="11" t="inlineStr">
        <is>
          <t>Mato Grosso</t>
        </is>
      </c>
      <c r="C56" s="11" t="inlineStr">
        <is>
          <t>Baristas (B2B)</t>
        </is>
      </c>
      <c r="D56" s="11" t="n">
        <v>0</v>
      </c>
      <c r="E56" s="11">
        <f>ROUNDUP(E55*Premissas!$B$16,0)</f>
        <v/>
      </c>
      <c r="F56" s="11">
        <f>ROUNDUP(F55*Premissas!$B$16,0)</f>
        <v/>
      </c>
      <c r="G56" s="11">
        <f>ROUNDUP(G55*Premissas!$B$16,0)</f>
        <v/>
      </c>
      <c r="H56" s="11">
        <f>ROUNDUP(H55*Premissas!$B$16,0)</f>
        <v/>
      </c>
      <c r="I56" s="11">
        <f>ROUNDUP(I55*Premissas!$B$16,0)</f>
        <v/>
      </c>
    </row>
    <row r="57">
      <c r="A57" s="11" t="inlineStr">
        <is>
          <t>AM</t>
        </is>
      </c>
      <c r="B57" s="11" t="inlineStr">
        <is>
          <t>Amazonas</t>
        </is>
      </c>
      <c r="C57" s="11" t="inlineStr">
        <is>
          <t>Representante (Varejo terceiro)</t>
        </is>
      </c>
      <c r="D57" s="11" t="n">
        <v>1</v>
      </c>
      <c r="E57" s="11">
        <f>$D$57+ROUNDDOWN(MAX(0,'Projeção Receita'!E30-'Projeção Receita'!$D$30)/(Premissas!$B$14*Premissas!$B$75),0)</f>
        <v/>
      </c>
      <c r="F57" s="11">
        <f>$D$57+ROUNDDOWN(MAX(0,'Projeção Receita'!F30-'Projeção Receita'!$D$30)/(Premissas!$B$14*Premissas!$B$75),0)</f>
        <v/>
      </c>
      <c r="G57" s="11">
        <f>$D$57+ROUNDDOWN(MAX(0,'Projeção Receita'!G30-'Projeção Receita'!$D$30)/(Premissas!$B$14*Premissas!$B$75),0)</f>
        <v/>
      </c>
      <c r="H57" s="11">
        <f>$D$57+ROUNDDOWN(MAX(0,'Projeção Receita'!H30-'Projeção Receita'!$D$30)/(Premissas!$B$14*Premissas!$B$75),0)</f>
        <v/>
      </c>
      <c r="I57" s="11">
        <f>$D$57+ROUNDDOWN(MAX(0,'Projeção Receita'!I30-'Projeção Receita'!$D$30)/(Premissas!$B$14*Premissas!$B$75),0)</f>
        <v/>
      </c>
    </row>
    <row r="58">
      <c r="A58" s="11" t="inlineStr">
        <is>
          <t>AM</t>
        </is>
      </c>
      <c r="B58" s="11" t="inlineStr">
        <is>
          <t>Amazonas</t>
        </is>
      </c>
      <c r="C58" s="11" t="inlineStr">
        <is>
          <t>Promotores/Abordadores (via agência)</t>
        </is>
      </c>
      <c r="D58" s="11" t="n">
        <v>0</v>
      </c>
      <c r="E58" s="11">
        <f>ROUNDDOWN(MAX(0,('Projeção Receita'!E30-'Projeção Receita'!$D$30))/1000000*(Premissas!$B$15/Premissas!$B$76),0)</f>
        <v/>
      </c>
      <c r="F58" s="11">
        <f>ROUNDDOWN(MAX(0,('Projeção Receita'!F30-'Projeção Receita'!$D$30))/1000000*(Premissas!$B$15/Premissas!$B$76),0)</f>
        <v/>
      </c>
      <c r="G58" s="11">
        <f>ROUNDDOWN(MAX(0,('Projeção Receita'!G30-'Projeção Receita'!$D$30))/1000000*(Premissas!$B$15/Premissas!$B$76),0)</f>
        <v/>
      </c>
      <c r="H58" s="11">
        <f>ROUNDDOWN(MAX(0,('Projeção Receita'!H30-'Projeção Receita'!$D$30))/1000000*(Premissas!$B$15/Premissas!$B$76),0)</f>
        <v/>
      </c>
      <c r="I58" s="11">
        <f>ROUNDDOWN(MAX(0,('Projeção Receita'!I30-'Projeção Receita'!$D$30))/1000000*(Premissas!$B$15/Premissas!$B$76),0)</f>
        <v/>
      </c>
    </row>
    <row r="59">
      <c r="A59" s="11" t="inlineStr">
        <is>
          <t>AM</t>
        </is>
      </c>
      <c r="B59" s="11" t="inlineStr">
        <is>
          <t>Amazonas</t>
        </is>
      </c>
      <c r="C59" s="11" t="inlineStr">
        <is>
          <t>Comercial (B2B)</t>
        </is>
      </c>
      <c r="D59" s="11" t="n">
        <v>0</v>
      </c>
      <c r="E59" s="11">
        <f>$D$59+ROUNDDOWN(MAX(0,'Projeção Receita'!E31-'Projeção Receita'!$D$31)/(Premissas!$B$14*Premissas!$B$75),0)</f>
        <v/>
      </c>
      <c r="F59" s="11">
        <f>$D$59+ROUNDDOWN(MAX(0,'Projeção Receita'!F31-'Projeção Receita'!$D$31)/(Premissas!$B$14*Premissas!$B$75),0)</f>
        <v/>
      </c>
      <c r="G59" s="11">
        <f>$D$59+ROUNDDOWN(MAX(0,'Projeção Receita'!G31-'Projeção Receita'!$D$31)/(Premissas!$B$14*Premissas!$B$75),0)</f>
        <v/>
      </c>
      <c r="H59" s="11">
        <f>$D$59+ROUNDDOWN(MAX(0,'Projeção Receita'!H31-'Projeção Receita'!$D$31)/(Premissas!$B$14*Premissas!$B$75),0)</f>
        <v/>
      </c>
      <c r="I59" s="11">
        <f>$D$59+ROUNDDOWN(MAX(0,'Projeção Receita'!I31-'Projeção Receita'!$D$31)/(Premissas!$B$14*Premissas!$B$75),0)</f>
        <v/>
      </c>
    </row>
    <row r="60">
      <c r="A60" s="11" t="inlineStr">
        <is>
          <t>AM</t>
        </is>
      </c>
      <c r="B60" s="11" t="inlineStr">
        <is>
          <t>Amazonas</t>
        </is>
      </c>
      <c r="C60" s="11" t="inlineStr">
        <is>
          <t>Baristas (B2B)</t>
        </is>
      </c>
      <c r="D60" s="11" t="n">
        <v>0</v>
      </c>
      <c r="E60" s="11">
        <f>ROUNDUP(E59*Premissas!$B$16,0)</f>
        <v/>
      </c>
      <c r="F60" s="11">
        <f>ROUNDUP(F59*Premissas!$B$16,0)</f>
        <v/>
      </c>
      <c r="G60" s="11">
        <f>ROUNDUP(G59*Premissas!$B$16,0)</f>
        <v/>
      </c>
      <c r="H60" s="11">
        <f>ROUNDUP(H59*Premissas!$B$16,0)</f>
        <v/>
      </c>
      <c r="I60" s="11">
        <f>ROUNDUP(I59*Premissas!$B$16,0)</f>
        <v/>
      </c>
    </row>
    <row r="61">
      <c r="A61" s="11" t="inlineStr">
        <is>
          <t>AC</t>
        </is>
      </c>
      <c r="B61" s="11" t="inlineStr">
        <is>
          <t>Acre</t>
        </is>
      </c>
      <c r="C61" s="11" t="inlineStr">
        <is>
          <t>Representante (Varejo terceiro)</t>
        </is>
      </c>
      <c r="D61" s="11" t="n">
        <v>0</v>
      </c>
      <c r="E61" s="11">
        <f>$D$61+ROUNDDOWN(MAX(0,'Projeção Receita'!E32-'Projeção Receita'!$D$32)/(Premissas!$B$14*Premissas!$B$75),0)</f>
        <v/>
      </c>
      <c r="F61" s="11">
        <f>$D$61+ROUNDDOWN(MAX(0,'Projeção Receita'!F32-'Projeção Receita'!$D$32)/(Premissas!$B$14*Premissas!$B$75),0)</f>
        <v/>
      </c>
      <c r="G61" s="11">
        <f>$D$61+ROUNDDOWN(MAX(0,'Projeção Receita'!G32-'Projeção Receita'!$D$32)/(Premissas!$B$14*Premissas!$B$75),0)</f>
        <v/>
      </c>
      <c r="H61" s="11">
        <f>$D$61+ROUNDDOWN(MAX(0,'Projeção Receita'!H32-'Projeção Receita'!$D$32)/(Premissas!$B$14*Premissas!$B$75),0)</f>
        <v/>
      </c>
      <c r="I61" s="11">
        <f>$D$61+ROUNDDOWN(MAX(0,'Projeção Receita'!I32-'Projeção Receita'!$D$32)/(Premissas!$B$14*Premissas!$B$75),0)</f>
        <v/>
      </c>
    </row>
    <row r="62">
      <c r="A62" s="11" t="inlineStr">
        <is>
          <t>AC</t>
        </is>
      </c>
      <c r="B62" s="11" t="inlineStr">
        <is>
          <t>Acre</t>
        </is>
      </c>
      <c r="C62" s="11" t="inlineStr">
        <is>
          <t>Promotores/Abordadores (via agência)</t>
        </is>
      </c>
      <c r="D62" s="11" t="n">
        <v>0</v>
      </c>
      <c r="E62" s="11">
        <f>ROUNDDOWN(MAX(0,('Projeção Receita'!E32-'Projeção Receita'!$D$32))/1000000*(Premissas!$B$15/Premissas!$B$76),0)</f>
        <v/>
      </c>
      <c r="F62" s="11">
        <f>ROUNDDOWN(MAX(0,('Projeção Receita'!F32-'Projeção Receita'!$D$32))/1000000*(Premissas!$B$15/Premissas!$B$76),0)</f>
        <v/>
      </c>
      <c r="G62" s="11">
        <f>ROUNDDOWN(MAX(0,('Projeção Receita'!G32-'Projeção Receita'!$D$32))/1000000*(Premissas!$B$15/Premissas!$B$76),0)</f>
        <v/>
      </c>
      <c r="H62" s="11">
        <f>ROUNDDOWN(MAX(0,('Projeção Receita'!H32-'Projeção Receita'!$D$32))/1000000*(Premissas!$B$15/Premissas!$B$76),0)</f>
        <v/>
      </c>
      <c r="I62" s="11">
        <f>ROUNDDOWN(MAX(0,('Projeção Receita'!I32-'Projeção Receita'!$D$32))/1000000*(Premissas!$B$15/Premissas!$B$76),0)</f>
        <v/>
      </c>
    </row>
    <row r="63">
      <c r="A63" s="11" t="inlineStr">
        <is>
          <t>AC</t>
        </is>
      </c>
      <c r="B63" s="11" t="inlineStr">
        <is>
          <t>Acre</t>
        </is>
      </c>
      <c r="C63" s="11" t="inlineStr">
        <is>
          <t>Comercial (B2B)</t>
        </is>
      </c>
      <c r="D63" s="11" t="n">
        <v>0</v>
      </c>
      <c r="E63" s="11">
        <f>$D$63+ROUNDDOWN(MAX(0,'Projeção Receita'!E33-'Projeção Receita'!$D$33)/(Premissas!$B$14*Premissas!$B$75),0)</f>
        <v/>
      </c>
      <c r="F63" s="11">
        <f>$D$63+ROUNDDOWN(MAX(0,'Projeção Receita'!F33-'Projeção Receita'!$D$33)/(Premissas!$B$14*Premissas!$B$75),0)</f>
        <v/>
      </c>
      <c r="G63" s="11">
        <f>$D$63+ROUNDDOWN(MAX(0,'Projeção Receita'!G33-'Projeção Receita'!$D$33)/(Premissas!$B$14*Premissas!$B$75),0)</f>
        <v/>
      </c>
      <c r="H63" s="11">
        <f>$D$63+ROUNDDOWN(MAX(0,'Projeção Receita'!H33-'Projeção Receita'!$D$33)/(Premissas!$B$14*Premissas!$B$75),0)</f>
        <v/>
      </c>
      <c r="I63" s="11">
        <f>$D$63+ROUNDDOWN(MAX(0,'Projeção Receita'!I33-'Projeção Receita'!$D$33)/(Premissas!$B$14*Premissas!$B$75),0)</f>
        <v/>
      </c>
    </row>
    <row r="64">
      <c r="A64" s="11" t="inlineStr">
        <is>
          <t>AC</t>
        </is>
      </c>
      <c r="B64" s="11" t="inlineStr">
        <is>
          <t>Acre</t>
        </is>
      </c>
      <c r="C64" s="11" t="inlineStr">
        <is>
          <t>Baristas (B2B)</t>
        </is>
      </c>
      <c r="D64" s="11" t="n">
        <v>0</v>
      </c>
      <c r="E64" s="11">
        <f>ROUNDUP(E63*Premissas!$B$16,0)</f>
        <v/>
      </c>
      <c r="F64" s="11">
        <f>ROUNDUP(F63*Premissas!$B$16,0)</f>
        <v/>
      </c>
      <c r="G64" s="11">
        <f>ROUNDUP(G63*Premissas!$B$16,0)</f>
        <v/>
      </c>
      <c r="H64" s="11">
        <f>ROUNDUP(H63*Premissas!$B$16,0)</f>
        <v/>
      </c>
      <c r="I64" s="11">
        <f>ROUNDUP(I63*Premissas!$B$16,0)</f>
        <v/>
      </c>
    </row>
    <row r="65">
      <c r="A65" s="11" t="inlineStr">
        <is>
          <t>AL</t>
        </is>
      </c>
      <c r="B65" s="11" t="inlineStr">
        <is>
          <t>Alagoas</t>
        </is>
      </c>
      <c r="C65" s="11" t="inlineStr">
        <is>
          <t>Representante (Varejo terceiro)</t>
        </is>
      </c>
      <c r="D65" s="11" t="n">
        <v>0</v>
      </c>
      <c r="E65" s="11">
        <f>$D$65+ROUNDDOWN(MAX(0,'Projeção Receita'!E34-'Projeção Receita'!$D$34)/(Premissas!$B$14*Premissas!$B$75),0)</f>
        <v/>
      </c>
      <c r="F65" s="11">
        <f>$D$65+ROUNDDOWN(MAX(0,'Projeção Receita'!F34-'Projeção Receita'!$D$34)/(Premissas!$B$14*Premissas!$B$75),0)</f>
        <v/>
      </c>
      <c r="G65" s="11">
        <f>$D$65+ROUNDDOWN(MAX(0,'Projeção Receita'!G34-'Projeção Receita'!$D$34)/(Premissas!$B$14*Premissas!$B$75),0)</f>
        <v/>
      </c>
      <c r="H65" s="11">
        <f>$D$65+ROUNDDOWN(MAX(0,'Projeção Receita'!H34-'Projeção Receita'!$D$34)/(Premissas!$B$14*Premissas!$B$75),0)</f>
        <v/>
      </c>
      <c r="I65" s="11">
        <f>$D$65+ROUNDDOWN(MAX(0,'Projeção Receita'!I34-'Projeção Receita'!$D$34)/(Premissas!$B$14*Premissas!$B$75),0)</f>
        <v/>
      </c>
    </row>
    <row r="66">
      <c r="A66" s="11" t="inlineStr">
        <is>
          <t>AL</t>
        </is>
      </c>
      <c r="B66" s="11" t="inlineStr">
        <is>
          <t>Alagoas</t>
        </is>
      </c>
      <c r="C66" s="11" t="inlineStr">
        <is>
          <t>Promotores/Abordadores (via agência)</t>
        </is>
      </c>
      <c r="D66" s="11" t="n">
        <v>0</v>
      </c>
      <c r="E66" s="11">
        <f>ROUNDDOWN(MAX(0,('Projeção Receita'!E34-'Projeção Receita'!$D$34))/1000000*(Premissas!$B$15/Premissas!$B$76),0)</f>
        <v/>
      </c>
      <c r="F66" s="11">
        <f>ROUNDDOWN(MAX(0,('Projeção Receita'!F34-'Projeção Receita'!$D$34))/1000000*(Premissas!$B$15/Premissas!$B$76),0)</f>
        <v/>
      </c>
      <c r="G66" s="11">
        <f>ROUNDDOWN(MAX(0,('Projeção Receita'!G34-'Projeção Receita'!$D$34))/1000000*(Premissas!$B$15/Premissas!$B$76),0)</f>
        <v/>
      </c>
      <c r="H66" s="11">
        <f>ROUNDDOWN(MAX(0,('Projeção Receita'!H34-'Projeção Receita'!$D$34))/1000000*(Premissas!$B$15/Premissas!$B$76),0)</f>
        <v/>
      </c>
      <c r="I66" s="11">
        <f>ROUNDDOWN(MAX(0,('Projeção Receita'!I34-'Projeção Receita'!$D$34))/1000000*(Premissas!$B$15/Premissas!$B$76),0)</f>
        <v/>
      </c>
    </row>
    <row r="67">
      <c r="A67" s="11" t="inlineStr">
        <is>
          <t>AL</t>
        </is>
      </c>
      <c r="B67" s="11" t="inlineStr">
        <is>
          <t>Alagoas</t>
        </is>
      </c>
      <c r="C67" s="11" t="inlineStr">
        <is>
          <t>Comercial (B2B)</t>
        </is>
      </c>
      <c r="D67" s="11" t="n">
        <v>0</v>
      </c>
      <c r="E67" s="11">
        <f>$D$67+ROUNDDOWN(MAX(0,'Projeção Receita'!E35-'Projeção Receita'!$D$35)/(Premissas!$B$14*Premissas!$B$75),0)</f>
        <v/>
      </c>
      <c r="F67" s="11">
        <f>$D$67+ROUNDDOWN(MAX(0,'Projeção Receita'!F35-'Projeção Receita'!$D$35)/(Premissas!$B$14*Premissas!$B$75),0)</f>
        <v/>
      </c>
      <c r="G67" s="11">
        <f>$D$67+ROUNDDOWN(MAX(0,'Projeção Receita'!G35-'Projeção Receita'!$D$35)/(Premissas!$B$14*Premissas!$B$75),0)</f>
        <v/>
      </c>
      <c r="H67" s="11">
        <f>$D$67+ROUNDDOWN(MAX(0,'Projeção Receita'!H35-'Projeção Receita'!$D$35)/(Premissas!$B$14*Premissas!$B$75),0)</f>
        <v/>
      </c>
      <c r="I67" s="11">
        <f>$D$67+ROUNDDOWN(MAX(0,'Projeção Receita'!I35-'Projeção Receita'!$D$35)/(Premissas!$B$14*Premissas!$B$75),0)</f>
        <v/>
      </c>
    </row>
    <row r="68">
      <c r="A68" s="11" t="inlineStr">
        <is>
          <t>AL</t>
        </is>
      </c>
      <c r="B68" s="11" t="inlineStr">
        <is>
          <t>Alagoas</t>
        </is>
      </c>
      <c r="C68" s="11" t="inlineStr">
        <is>
          <t>Baristas (B2B)</t>
        </is>
      </c>
      <c r="D68" s="11" t="n">
        <v>0</v>
      </c>
      <c r="E68" s="11">
        <f>ROUNDUP(E67*Premissas!$B$16,0)</f>
        <v/>
      </c>
      <c r="F68" s="11">
        <f>ROUNDUP(F67*Premissas!$B$16,0)</f>
        <v/>
      </c>
      <c r="G68" s="11">
        <f>ROUNDUP(G67*Premissas!$B$16,0)</f>
        <v/>
      </c>
      <c r="H68" s="11">
        <f>ROUNDUP(H67*Premissas!$B$16,0)</f>
        <v/>
      </c>
      <c r="I68" s="11">
        <f>ROUNDUP(I67*Premissas!$B$16,0)</f>
        <v/>
      </c>
    </row>
    <row r="69">
      <c r="A69" s="11" t="inlineStr">
        <is>
          <t>AP</t>
        </is>
      </c>
      <c r="B69" s="11" t="inlineStr">
        <is>
          <t>Amapá</t>
        </is>
      </c>
      <c r="C69" s="11" t="inlineStr">
        <is>
          <t>Representante (Varejo terceiro)</t>
        </is>
      </c>
      <c r="D69" s="11" t="n">
        <v>0</v>
      </c>
      <c r="E69" s="11">
        <f>$D$69+ROUNDDOWN(MAX(0,'Projeção Receita'!E36-'Projeção Receita'!$D$36)/(Premissas!$B$14*Premissas!$B$75),0)</f>
        <v/>
      </c>
      <c r="F69" s="11">
        <f>$D$69+ROUNDDOWN(MAX(0,'Projeção Receita'!F36-'Projeção Receita'!$D$36)/(Premissas!$B$14*Premissas!$B$75),0)</f>
        <v/>
      </c>
      <c r="G69" s="11">
        <f>$D$69+ROUNDDOWN(MAX(0,'Projeção Receita'!G36-'Projeção Receita'!$D$36)/(Premissas!$B$14*Premissas!$B$75),0)</f>
        <v/>
      </c>
      <c r="H69" s="11">
        <f>$D$69+ROUNDDOWN(MAX(0,'Projeção Receita'!H36-'Projeção Receita'!$D$36)/(Premissas!$B$14*Premissas!$B$75),0)</f>
        <v/>
      </c>
      <c r="I69" s="11">
        <f>$D$69+ROUNDDOWN(MAX(0,'Projeção Receita'!I36-'Projeção Receita'!$D$36)/(Premissas!$B$14*Premissas!$B$75),0)</f>
        <v/>
      </c>
    </row>
    <row r="70">
      <c r="A70" s="11" t="inlineStr">
        <is>
          <t>AP</t>
        </is>
      </c>
      <c r="B70" s="11" t="inlineStr">
        <is>
          <t>Amapá</t>
        </is>
      </c>
      <c r="C70" s="11" t="inlineStr">
        <is>
          <t>Promotores/Abordadores (via agência)</t>
        </is>
      </c>
      <c r="D70" s="11" t="n">
        <v>0</v>
      </c>
      <c r="E70" s="11">
        <f>ROUNDDOWN(MAX(0,('Projeção Receita'!E36-'Projeção Receita'!$D$36))/1000000*(Premissas!$B$15/Premissas!$B$76),0)</f>
        <v/>
      </c>
      <c r="F70" s="11">
        <f>ROUNDDOWN(MAX(0,('Projeção Receita'!F36-'Projeção Receita'!$D$36))/1000000*(Premissas!$B$15/Premissas!$B$76),0)</f>
        <v/>
      </c>
      <c r="G70" s="11">
        <f>ROUNDDOWN(MAX(0,('Projeção Receita'!G36-'Projeção Receita'!$D$36))/1000000*(Premissas!$B$15/Premissas!$B$76),0)</f>
        <v/>
      </c>
      <c r="H70" s="11">
        <f>ROUNDDOWN(MAX(0,('Projeção Receita'!H36-'Projeção Receita'!$D$36))/1000000*(Premissas!$B$15/Premissas!$B$76),0)</f>
        <v/>
      </c>
      <c r="I70" s="11">
        <f>ROUNDDOWN(MAX(0,('Projeção Receita'!I36-'Projeção Receita'!$D$36))/1000000*(Premissas!$B$15/Premissas!$B$76),0)</f>
        <v/>
      </c>
    </row>
    <row r="71">
      <c r="A71" s="11" t="inlineStr">
        <is>
          <t>AP</t>
        </is>
      </c>
      <c r="B71" s="11" t="inlineStr">
        <is>
          <t>Amapá</t>
        </is>
      </c>
      <c r="C71" s="11" t="inlineStr">
        <is>
          <t>Comercial (B2B)</t>
        </is>
      </c>
      <c r="D71" s="11" t="n">
        <v>0</v>
      </c>
      <c r="E71" s="11">
        <f>$D$71+ROUNDDOWN(MAX(0,'Projeção Receita'!E37-'Projeção Receita'!$D$37)/(Premissas!$B$14*Premissas!$B$75),0)</f>
        <v/>
      </c>
      <c r="F71" s="11">
        <f>$D$71+ROUNDDOWN(MAX(0,'Projeção Receita'!F37-'Projeção Receita'!$D$37)/(Premissas!$B$14*Premissas!$B$75),0)</f>
        <v/>
      </c>
      <c r="G71" s="11">
        <f>$D$71+ROUNDDOWN(MAX(0,'Projeção Receita'!G37-'Projeção Receita'!$D$37)/(Premissas!$B$14*Premissas!$B$75),0)</f>
        <v/>
      </c>
      <c r="H71" s="11">
        <f>$D$71+ROUNDDOWN(MAX(0,'Projeção Receita'!H37-'Projeção Receita'!$D$37)/(Premissas!$B$14*Premissas!$B$75),0)</f>
        <v/>
      </c>
      <c r="I71" s="11">
        <f>$D$71+ROUNDDOWN(MAX(0,'Projeção Receita'!I37-'Projeção Receita'!$D$37)/(Premissas!$B$14*Premissas!$B$75),0)</f>
        <v/>
      </c>
    </row>
    <row r="72">
      <c r="A72" s="11" t="inlineStr">
        <is>
          <t>AP</t>
        </is>
      </c>
      <c r="B72" s="11" t="inlineStr">
        <is>
          <t>Amapá</t>
        </is>
      </c>
      <c r="C72" s="11" t="inlineStr">
        <is>
          <t>Baristas (B2B)</t>
        </is>
      </c>
      <c r="D72" s="11" t="n">
        <v>0</v>
      </c>
      <c r="E72" s="11">
        <f>ROUNDUP(E71*Premissas!$B$16,0)</f>
        <v/>
      </c>
      <c r="F72" s="11">
        <f>ROUNDUP(F71*Premissas!$B$16,0)</f>
        <v/>
      </c>
      <c r="G72" s="11">
        <f>ROUNDUP(G71*Premissas!$B$16,0)</f>
        <v/>
      </c>
      <c r="H72" s="11">
        <f>ROUNDUP(H71*Premissas!$B$16,0)</f>
        <v/>
      </c>
      <c r="I72" s="11">
        <f>ROUNDUP(I71*Premissas!$B$16,0)</f>
        <v/>
      </c>
    </row>
    <row r="73">
      <c r="A73" s="11" t="inlineStr">
        <is>
          <t>GO</t>
        </is>
      </c>
      <c r="B73" s="11" t="inlineStr">
        <is>
          <t>Goiás</t>
        </is>
      </c>
      <c r="C73" s="11" t="inlineStr">
        <is>
          <t>Representante (Varejo terceiro)</t>
        </is>
      </c>
      <c r="D73" s="11" t="n">
        <v>0</v>
      </c>
      <c r="E73" s="11">
        <f>$D$73+ROUNDDOWN(MAX(0,'Projeção Receita'!E38-'Projeção Receita'!$D$38)/(Premissas!$B$14*Premissas!$B$75),0)</f>
        <v/>
      </c>
      <c r="F73" s="11">
        <f>$D$73+ROUNDDOWN(MAX(0,'Projeção Receita'!F38-'Projeção Receita'!$D$38)/(Premissas!$B$14*Premissas!$B$75),0)</f>
        <v/>
      </c>
      <c r="G73" s="11">
        <f>$D$73+ROUNDDOWN(MAX(0,'Projeção Receita'!G38-'Projeção Receita'!$D$38)/(Premissas!$B$14*Premissas!$B$75),0)</f>
        <v/>
      </c>
      <c r="H73" s="11">
        <f>$D$73+ROUNDDOWN(MAX(0,'Projeção Receita'!H38-'Projeção Receita'!$D$38)/(Premissas!$B$14*Premissas!$B$75),0)</f>
        <v/>
      </c>
      <c r="I73" s="11">
        <f>$D$73+ROUNDDOWN(MAX(0,'Projeção Receita'!I38-'Projeção Receita'!$D$38)/(Premissas!$B$14*Premissas!$B$75),0)</f>
        <v/>
      </c>
    </row>
    <row r="74">
      <c r="A74" s="11" t="inlineStr">
        <is>
          <t>GO</t>
        </is>
      </c>
      <c r="B74" s="11" t="inlineStr">
        <is>
          <t>Goiás</t>
        </is>
      </c>
      <c r="C74" s="11" t="inlineStr">
        <is>
          <t>Promotores/Abordadores (via agência)</t>
        </is>
      </c>
      <c r="D74" s="11" t="n">
        <v>0</v>
      </c>
      <c r="E74" s="11">
        <f>ROUNDDOWN(MAX(0,('Projeção Receita'!E38-'Projeção Receita'!$D$38))/1000000*(Premissas!$B$15/Premissas!$B$76),0)</f>
        <v/>
      </c>
      <c r="F74" s="11">
        <f>ROUNDDOWN(MAX(0,('Projeção Receita'!F38-'Projeção Receita'!$D$38))/1000000*(Premissas!$B$15/Premissas!$B$76),0)</f>
        <v/>
      </c>
      <c r="G74" s="11">
        <f>ROUNDDOWN(MAX(0,('Projeção Receita'!G38-'Projeção Receita'!$D$38))/1000000*(Premissas!$B$15/Premissas!$B$76),0)</f>
        <v/>
      </c>
      <c r="H74" s="11">
        <f>ROUNDDOWN(MAX(0,('Projeção Receita'!H38-'Projeção Receita'!$D$38))/1000000*(Premissas!$B$15/Premissas!$B$76),0)</f>
        <v/>
      </c>
      <c r="I74" s="11">
        <f>ROUNDDOWN(MAX(0,('Projeção Receita'!I38-'Projeção Receita'!$D$38))/1000000*(Premissas!$B$15/Premissas!$B$76),0)</f>
        <v/>
      </c>
    </row>
    <row r="75">
      <c r="A75" s="11" t="inlineStr">
        <is>
          <t>GO</t>
        </is>
      </c>
      <c r="B75" s="11" t="inlineStr">
        <is>
          <t>Goiás</t>
        </is>
      </c>
      <c r="C75" s="11" t="inlineStr">
        <is>
          <t>Comercial (B2B)</t>
        </is>
      </c>
      <c r="D75" s="11" t="n">
        <v>0</v>
      </c>
      <c r="E75" s="11">
        <f>$D$75+ROUNDDOWN(MAX(0,'Projeção Receita'!E39-'Projeção Receita'!$D$39)/(Premissas!$B$14*Premissas!$B$75),0)</f>
        <v/>
      </c>
      <c r="F75" s="11">
        <f>$D$75+ROUNDDOWN(MAX(0,'Projeção Receita'!F39-'Projeção Receita'!$D$39)/(Premissas!$B$14*Premissas!$B$75),0)</f>
        <v/>
      </c>
      <c r="G75" s="11">
        <f>$D$75+ROUNDDOWN(MAX(0,'Projeção Receita'!G39-'Projeção Receita'!$D$39)/(Premissas!$B$14*Premissas!$B$75),0)</f>
        <v/>
      </c>
      <c r="H75" s="11">
        <f>$D$75+ROUNDDOWN(MAX(0,'Projeção Receita'!H39-'Projeção Receita'!$D$39)/(Premissas!$B$14*Premissas!$B$75),0)</f>
        <v/>
      </c>
      <c r="I75" s="11">
        <f>$D$75+ROUNDDOWN(MAX(0,'Projeção Receita'!I39-'Projeção Receita'!$D$39)/(Premissas!$B$14*Premissas!$B$75),0)</f>
        <v/>
      </c>
    </row>
    <row r="76">
      <c r="A76" s="11" t="inlineStr">
        <is>
          <t>GO</t>
        </is>
      </c>
      <c r="B76" s="11" t="inlineStr">
        <is>
          <t>Goiás</t>
        </is>
      </c>
      <c r="C76" s="11" t="inlineStr">
        <is>
          <t>Baristas (B2B)</t>
        </is>
      </c>
      <c r="D76" s="11" t="n">
        <v>0</v>
      </c>
      <c r="E76" s="11">
        <f>ROUNDUP(E75*Premissas!$B$16,0)</f>
        <v/>
      </c>
      <c r="F76" s="11">
        <f>ROUNDUP(F75*Premissas!$B$16,0)</f>
        <v/>
      </c>
      <c r="G76" s="11">
        <f>ROUNDUP(G75*Premissas!$B$16,0)</f>
        <v/>
      </c>
      <c r="H76" s="11">
        <f>ROUNDUP(H75*Premissas!$B$16,0)</f>
        <v/>
      </c>
      <c r="I76" s="11">
        <f>ROUNDUP(I75*Premissas!$B$16,0)</f>
        <v/>
      </c>
    </row>
    <row r="77">
      <c r="A77" s="11" t="inlineStr">
        <is>
          <t>MA</t>
        </is>
      </c>
      <c r="B77" s="11" t="inlineStr">
        <is>
          <t>Maranhão</t>
        </is>
      </c>
      <c r="C77" s="11" t="inlineStr">
        <is>
          <t>Representante (Varejo terceiro)</t>
        </is>
      </c>
      <c r="D77" s="11" t="n">
        <v>0</v>
      </c>
      <c r="E77" s="11">
        <f>$D$77+ROUNDDOWN(MAX(0,'Projeção Receita'!E40-'Projeção Receita'!$D$40)/(Premissas!$B$14*Premissas!$B$75),0)</f>
        <v/>
      </c>
      <c r="F77" s="11">
        <f>$D$77+ROUNDDOWN(MAX(0,'Projeção Receita'!F40-'Projeção Receita'!$D$40)/(Premissas!$B$14*Premissas!$B$75),0)</f>
        <v/>
      </c>
      <c r="G77" s="11">
        <f>$D$77+ROUNDDOWN(MAX(0,'Projeção Receita'!G40-'Projeção Receita'!$D$40)/(Premissas!$B$14*Premissas!$B$75),0)</f>
        <v/>
      </c>
      <c r="H77" s="11">
        <f>$D$77+ROUNDDOWN(MAX(0,'Projeção Receita'!H40-'Projeção Receita'!$D$40)/(Premissas!$B$14*Premissas!$B$75),0)</f>
        <v/>
      </c>
      <c r="I77" s="11">
        <f>$D$77+ROUNDDOWN(MAX(0,'Projeção Receita'!I40-'Projeção Receita'!$D$40)/(Premissas!$B$14*Premissas!$B$75),0)</f>
        <v/>
      </c>
    </row>
    <row r="78">
      <c r="A78" s="11" t="inlineStr">
        <is>
          <t>MA</t>
        </is>
      </c>
      <c r="B78" s="11" t="inlineStr">
        <is>
          <t>Maranhão</t>
        </is>
      </c>
      <c r="C78" s="11" t="inlineStr">
        <is>
          <t>Promotores/Abordadores (via agência)</t>
        </is>
      </c>
      <c r="D78" s="11" t="n">
        <v>0</v>
      </c>
      <c r="E78" s="11">
        <f>ROUNDDOWN(MAX(0,('Projeção Receita'!E40-'Projeção Receita'!$D$40))/1000000*(Premissas!$B$15/Premissas!$B$76),0)</f>
        <v/>
      </c>
      <c r="F78" s="11">
        <f>ROUNDDOWN(MAX(0,('Projeção Receita'!F40-'Projeção Receita'!$D$40))/1000000*(Premissas!$B$15/Premissas!$B$76),0)</f>
        <v/>
      </c>
      <c r="G78" s="11">
        <f>ROUNDDOWN(MAX(0,('Projeção Receita'!G40-'Projeção Receita'!$D$40))/1000000*(Premissas!$B$15/Premissas!$B$76),0)</f>
        <v/>
      </c>
      <c r="H78" s="11">
        <f>ROUNDDOWN(MAX(0,('Projeção Receita'!H40-'Projeção Receita'!$D$40))/1000000*(Premissas!$B$15/Premissas!$B$76),0)</f>
        <v/>
      </c>
      <c r="I78" s="11">
        <f>ROUNDDOWN(MAX(0,('Projeção Receita'!I40-'Projeção Receita'!$D$40))/1000000*(Premissas!$B$15/Premissas!$B$76),0)</f>
        <v/>
      </c>
    </row>
    <row r="79">
      <c r="A79" s="11" t="inlineStr">
        <is>
          <t>MA</t>
        </is>
      </c>
      <c r="B79" s="11" t="inlineStr">
        <is>
          <t>Maranhão</t>
        </is>
      </c>
      <c r="C79" s="11" t="inlineStr">
        <is>
          <t>Comercial (B2B)</t>
        </is>
      </c>
      <c r="D79" s="11" t="n">
        <v>0</v>
      </c>
      <c r="E79" s="11">
        <f>$D$79+ROUNDDOWN(MAX(0,'Projeção Receita'!E41-'Projeção Receita'!$D$41)/(Premissas!$B$14*Premissas!$B$75),0)</f>
        <v/>
      </c>
      <c r="F79" s="11">
        <f>$D$79+ROUNDDOWN(MAX(0,'Projeção Receita'!F41-'Projeção Receita'!$D$41)/(Premissas!$B$14*Premissas!$B$75),0)</f>
        <v/>
      </c>
      <c r="G79" s="11">
        <f>$D$79+ROUNDDOWN(MAX(0,'Projeção Receita'!G41-'Projeção Receita'!$D$41)/(Premissas!$B$14*Premissas!$B$75),0)</f>
        <v/>
      </c>
      <c r="H79" s="11">
        <f>$D$79+ROUNDDOWN(MAX(0,'Projeção Receita'!H41-'Projeção Receita'!$D$41)/(Premissas!$B$14*Premissas!$B$75),0)</f>
        <v/>
      </c>
      <c r="I79" s="11">
        <f>$D$79+ROUNDDOWN(MAX(0,'Projeção Receita'!I41-'Projeção Receita'!$D$41)/(Premissas!$B$14*Premissas!$B$75),0)</f>
        <v/>
      </c>
    </row>
    <row r="80">
      <c r="A80" s="11" t="inlineStr">
        <is>
          <t>MA</t>
        </is>
      </c>
      <c r="B80" s="11" t="inlineStr">
        <is>
          <t>Maranhão</t>
        </is>
      </c>
      <c r="C80" s="11" t="inlineStr">
        <is>
          <t>Baristas (B2B)</t>
        </is>
      </c>
      <c r="D80" s="11" t="n">
        <v>0</v>
      </c>
      <c r="E80" s="11">
        <f>ROUNDUP(E79*Premissas!$B$16,0)</f>
        <v/>
      </c>
      <c r="F80" s="11">
        <f>ROUNDUP(F79*Premissas!$B$16,0)</f>
        <v/>
      </c>
      <c r="G80" s="11">
        <f>ROUNDUP(G79*Premissas!$B$16,0)</f>
        <v/>
      </c>
      <c r="H80" s="11">
        <f>ROUNDUP(H79*Premissas!$B$16,0)</f>
        <v/>
      </c>
      <c r="I80" s="11">
        <f>ROUNDUP(I79*Premissas!$B$16,0)</f>
        <v/>
      </c>
    </row>
    <row r="81">
      <c r="A81" s="11" t="inlineStr">
        <is>
          <t>PA</t>
        </is>
      </c>
      <c r="B81" s="11" t="inlineStr">
        <is>
          <t>Pará</t>
        </is>
      </c>
      <c r="C81" s="11" t="inlineStr">
        <is>
          <t>Representante (Varejo terceiro)</t>
        </is>
      </c>
      <c r="D81" s="11" t="n">
        <v>1</v>
      </c>
      <c r="E81" s="11">
        <f>$D$81+ROUNDDOWN(MAX(0,'Projeção Receita'!E42-'Projeção Receita'!$D$42)/(Premissas!$B$14*Premissas!$B$75),0)</f>
        <v/>
      </c>
      <c r="F81" s="11">
        <f>$D$81+ROUNDDOWN(MAX(0,'Projeção Receita'!F42-'Projeção Receita'!$D$42)/(Premissas!$B$14*Premissas!$B$75),0)</f>
        <v/>
      </c>
      <c r="G81" s="11">
        <f>$D$81+ROUNDDOWN(MAX(0,'Projeção Receita'!G42-'Projeção Receita'!$D$42)/(Premissas!$B$14*Premissas!$B$75),0)</f>
        <v/>
      </c>
      <c r="H81" s="11">
        <f>$D$81+ROUNDDOWN(MAX(0,'Projeção Receita'!H42-'Projeção Receita'!$D$42)/(Premissas!$B$14*Premissas!$B$75),0)</f>
        <v/>
      </c>
      <c r="I81" s="11">
        <f>$D$81+ROUNDDOWN(MAX(0,'Projeção Receita'!I42-'Projeção Receita'!$D$42)/(Premissas!$B$14*Premissas!$B$75),0)</f>
        <v/>
      </c>
    </row>
    <row r="82">
      <c r="A82" s="11" t="inlineStr">
        <is>
          <t>PA</t>
        </is>
      </c>
      <c r="B82" s="11" t="inlineStr">
        <is>
          <t>Pará</t>
        </is>
      </c>
      <c r="C82" s="11" t="inlineStr">
        <is>
          <t>Promotores/Abordadores (via agência)</t>
        </is>
      </c>
      <c r="D82" s="11" t="n">
        <v>0</v>
      </c>
      <c r="E82" s="11">
        <f>ROUNDDOWN(MAX(0,('Projeção Receita'!E42-'Projeção Receita'!$D$42))/1000000*(Premissas!$B$15/Premissas!$B$76),0)</f>
        <v/>
      </c>
      <c r="F82" s="11">
        <f>ROUNDDOWN(MAX(0,('Projeção Receita'!F42-'Projeção Receita'!$D$42))/1000000*(Premissas!$B$15/Premissas!$B$76),0)</f>
        <v/>
      </c>
      <c r="G82" s="11">
        <f>ROUNDDOWN(MAX(0,('Projeção Receita'!G42-'Projeção Receita'!$D$42))/1000000*(Premissas!$B$15/Premissas!$B$76),0)</f>
        <v/>
      </c>
      <c r="H82" s="11">
        <f>ROUNDDOWN(MAX(0,('Projeção Receita'!H42-'Projeção Receita'!$D$42))/1000000*(Premissas!$B$15/Premissas!$B$76),0)</f>
        <v/>
      </c>
      <c r="I82" s="11">
        <f>ROUNDDOWN(MAX(0,('Projeção Receita'!I42-'Projeção Receita'!$D$42))/1000000*(Premissas!$B$15/Premissas!$B$76),0)</f>
        <v/>
      </c>
    </row>
    <row r="83">
      <c r="A83" s="11" t="inlineStr">
        <is>
          <t>PA</t>
        </is>
      </c>
      <c r="B83" s="11" t="inlineStr">
        <is>
          <t>Pará</t>
        </is>
      </c>
      <c r="C83" s="11" t="inlineStr">
        <is>
          <t>Comercial (B2B)</t>
        </is>
      </c>
      <c r="D83" s="11" t="n">
        <v>0</v>
      </c>
      <c r="E83" s="11">
        <f>$D$83+ROUNDDOWN(MAX(0,'Projeção Receita'!E43-'Projeção Receita'!$D$43)/(Premissas!$B$14*Premissas!$B$75),0)</f>
        <v/>
      </c>
      <c r="F83" s="11">
        <f>$D$83+ROUNDDOWN(MAX(0,'Projeção Receita'!F43-'Projeção Receita'!$D$43)/(Premissas!$B$14*Premissas!$B$75),0)</f>
        <v/>
      </c>
      <c r="G83" s="11">
        <f>$D$83+ROUNDDOWN(MAX(0,'Projeção Receita'!G43-'Projeção Receita'!$D$43)/(Premissas!$B$14*Premissas!$B$75),0)</f>
        <v/>
      </c>
      <c r="H83" s="11">
        <f>$D$83+ROUNDDOWN(MAX(0,'Projeção Receita'!H43-'Projeção Receita'!$D$43)/(Premissas!$B$14*Premissas!$B$75),0)</f>
        <v/>
      </c>
      <c r="I83" s="11">
        <f>$D$83+ROUNDDOWN(MAX(0,'Projeção Receita'!I43-'Projeção Receita'!$D$43)/(Premissas!$B$14*Premissas!$B$75),0)</f>
        <v/>
      </c>
    </row>
    <row r="84">
      <c r="A84" s="11" t="inlineStr">
        <is>
          <t>PA</t>
        </is>
      </c>
      <c r="B84" s="11" t="inlineStr">
        <is>
          <t>Pará</t>
        </is>
      </c>
      <c r="C84" s="11" t="inlineStr">
        <is>
          <t>Baristas (B2B)</t>
        </is>
      </c>
      <c r="D84" s="11" t="n">
        <v>0</v>
      </c>
      <c r="E84" s="11">
        <f>ROUNDUP(E83*Premissas!$B$16,0)</f>
        <v/>
      </c>
      <c r="F84" s="11">
        <f>ROUNDUP(F83*Premissas!$B$16,0)</f>
        <v/>
      </c>
      <c r="G84" s="11">
        <f>ROUNDUP(G83*Premissas!$B$16,0)</f>
        <v/>
      </c>
      <c r="H84" s="11">
        <f>ROUNDUP(H83*Premissas!$B$16,0)</f>
        <v/>
      </c>
      <c r="I84" s="11">
        <f>ROUNDUP(I83*Premissas!$B$16,0)</f>
        <v/>
      </c>
    </row>
    <row r="85">
      <c r="A85" s="11" t="inlineStr">
        <is>
          <t>PB</t>
        </is>
      </c>
      <c r="B85" s="11" t="inlineStr">
        <is>
          <t>Paraíba</t>
        </is>
      </c>
      <c r="C85" s="11" t="inlineStr">
        <is>
          <t>Representante (Varejo terceiro)</t>
        </is>
      </c>
      <c r="D85" s="11" t="n">
        <v>0</v>
      </c>
      <c r="E85" s="11">
        <f>$D$85+ROUNDDOWN(MAX(0,'Projeção Receita'!E44-'Projeção Receita'!$D$44)/(Premissas!$B$14*Premissas!$B$75),0)</f>
        <v/>
      </c>
      <c r="F85" s="11">
        <f>$D$85+ROUNDDOWN(MAX(0,'Projeção Receita'!F44-'Projeção Receita'!$D$44)/(Premissas!$B$14*Premissas!$B$75),0)</f>
        <v/>
      </c>
      <c r="G85" s="11">
        <f>$D$85+ROUNDDOWN(MAX(0,'Projeção Receita'!G44-'Projeção Receita'!$D$44)/(Premissas!$B$14*Premissas!$B$75),0)</f>
        <v/>
      </c>
      <c r="H85" s="11">
        <f>$D$85+ROUNDDOWN(MAX(0,'Projeção Receita'!H44-'Projeção Receita'!$D$44)/(Premissas!$B$14*Premissas!$B$75),0)</f>
        <v/>
      </c>
      <c r="I85" s="11">
        <f>$D$85+ROUNDDOWN(MAX(0,'Projeção Receita'!I44-'Projeção Receita'!$D$44)/(Premissas!$B$14*Premissas!$B$75),0)</f>
        <v/>
      </c>
    </row>
    <row r="86">
      <c r="A86" s="11" t="inlineStr">
        <is>
          <t>PB</t>
        </is>
      </c>
      <c r="B86" s="11" t="inlineStr">
        <is>
          <t>Paraíba</t>
        </is>
      </c>
      <c r="C86" s="11" t="inlineStr">
        <is>
          <t>Promotores/Abordadores (via agência)</t>
        </is>
      </c>
      <c r="D86" s="11" t="n">
        <v>0</v>
      </c>
      <c r="E86" s="11">
        <f>ROUNDDOWN(MAX(0,('Projeção Receita'!E44-'Projeção Receita'!$D$44))/1000000*(Premissas!$B$15/Premissas!$B$76),0)</f>
        <v/>
      </c>
      <c r="F86" s="11">
        <f>ROUNDDOWN(MAX(0,('Projeção Receita'!F44-'Projeção Receita'!$D$44))/1000000*(Premissas!$B$15/Premissas!$B$76),0)</f>
        <v/>
      </c>
      <c r="G86" s="11">
        <f>ROUNDDOWN(MAX(0,('Projeção Receita'!G44-'Projeção Receita'!$D$44))/1000000*(Premissas!$B$15/Premissas!$B$76),0)</f>
        <v/>
      </c>
      <c r="H86" s="11">
        <f>ROUNDDOWN(MAX(0,('Projeção Receita'!H44-'Projeção Receita'!$D$44))/1000000*(Premissas!$B$15/Premissas!$B$76),0)</f>
        <v/>
      </c>
      <c r="I86" s="11">
        <f>ROUNDDOWN(MAX(0,('Projeção Receita'!I44-'Projeção Receita'!$D$44))/1000000*(Premissas!$B$15/Premissas!$B$76),0)</f>
        <v/>
      </c>
    </row>
    <row r="87">
      <c r="A87" s="11" t="inlineStr">
        <is>
          <t>PB</t>
        </is>
      </c>
      <c r="B87" s="11" t="inlineStr">
        <is>
          <t>Paraíba</t>
        </is>
      </c>
      <c r="C87" s="11" t="inlineStr">
        <is>
          <t>Comercial (B2B)</t>
        </is>
      </c>
      <c r="D87" s="11" t="n">
        <v>0</v>
      </c>
      <c r="E87" s="11">
        <f>$D$87+ROUNDDOWN(MAX(0,'Projeção Receita'!E45-'Projeção Receita'!$D$45)/(Premissas!$B$14*Premissas!$B$75),0)</f>
        <v/>
      </c>
      <c r="F87" s="11">
        <f>$D$87+ROUNDDOWN(MAX(0,'Projeção Receita'!F45-'Projeção Receita'!$D$45)/(Premissas!$B$14*Premissas!$B$75),0)</f>
        <v/>
      </c>
      <c r="G87" s="11">
        <f>$D$87+ROUNDDOWN(MAX(0,'Projeção Receita'!G45-'Projeção Receita'!$D$45)/(Premissas!$B$14*Premissas!$B$75),0)</f>
        <v/>
      </c>
      <c r="H87" s="11">
        <f>$D$87+ROUNDDOWN(MAX(0,'Projeção Receita'!H45-'Projeção Receita'!$D$45)/(Premissas!$B$14*Premissas!$B$75),0)</f>
        <v/>
      </c>
      <c r="I87" s="11">
        <f>$D$87+ROUNDDOWN(MAX(0,'Projeção Receita'!I45-'Projeção Receita'!$D$45)/(Premissas!$B$14*Premissas!$B$75),0)</f>
        <v/>
      </c>
    </row>
    <row r="88">
      <c r="A88" s="11" t="inlineStr">
        <is>
          <t>PB</t>
        </is>
      </c>
      <c r="B88" s="11" t="inlineStr">
        <is>
          <t>Paraíba</t>
        </is>
      </c>
      <c r="C88" s="11" t="inlineStr">
        <is>
          <t>Baristas (B2B)</t>
        </is>
      </c>
      <c r="D88" s="11" t="n">
        <v>0</v>
      </c>
      <c r="E88" s="11">
        <f>ROUNDUP(E87*Premissas!$B$16,0)</f>
        <v/>
      </c>
      <c r="F88" s="11">
        <f>ROUNDUP(F87*Premissas!$B$16,0)</f>
        <v/>
      </c>
      <c r="G88" s="11">
        <f>ROUNDUP(G87*Premissas!$B$16,0)</f>
        <v/>
      </c>
      <c r="H88" s="11">
        <f>ROUNDUP(H87*Premissas!$B$16,0)</f>
        <v/>
      </c>
      <c r="I88" s="11">
        <f>ROUNDUP(I87*Premissas!$B$16,0)</f>
        <v/>
      </c>
    </row>
    <row r="89">
      <c r="A89" s="11" t="inlineStr">
        <is>
          <t>PI</t>
        </is>
      </c>
      <c r="B89" s="11" t="inlineStr">
        <is>
          <t>Piauí</t>
        </is>
      </c>
      <c r="C89" s="11" t="inlineStr">
        <is>
          <t>Representante (Varejo terceiro)</t>
        </is>
      </c>
      <c r="D89" s="11" t="n">
        <v>0</v>
      </c>
      <c r="E89" s="11">
        <f>$D$89+ROUNDDOWN(MAX(0,'Projeção Receita'!E46-'Projeção Receita'!$D$46)/(Premissas!$B$14*Premissas!$B$75),0)</f>
        <v/>
      </c>
      <c r="F89" s="11">
        <f>$D$89+ROUNDDOWN(MAX(0,'Projeção Receita'!F46-'Projeção Receita'!$D$46)/(Premissas!$B$14*Premissas!$B$75),0)</f>
        <v/>
      </c>
      <c r="G89" s="11">
        <f>$D$89+ROUNDDOWN(MAX(0,'Projeção Receita'!G46-'Projeção Receita'!$D$46)/(Premissas!$B$14*Premissas!$B$75),0)</f>
        <v/>
      </c>
      <c r="H89" s="11">
        <f>$D$89+ROUNDDOWN(MAX(0,'Projeção Receita'!H46-'Projeção Receita'!$D$46)/(Premissas!$B$14*Premissas!$B$75),0)</f>
        <v/>
      </c>
      <c r="I89" s="11">
        <f>$D$89+ROUNDDOWN(MAX(0,'Projeção Receita'!I46-'Projeção Receita'!$D$46)/(Premissas!$B$14*Premissas!$B$75),0)</f>
        <v/>
      </c>
    </row>
    <row r="90">
      <c r="A90" s="11" t="inlineStr">
        <is>
          <t>PI</t>
        </is>
      </c>
      <c r="B90" s="11" t="inlineStr">
        <is>
          <t>Piauí</t>
        </is>
      </c>
      <c r="C90" s="11" t="inlineStr">
        <is>
          <t>Promotores/Abordadores (via agência)</t>
        </is>
      </c>
      <c r="D90" s="11" t="n">
        <v>0</v>
      </c>
      <c r="E90" s="11">
        <f>ROUNDDOWN(MAX(0,('Projeção Receita'!E46-'Projeção Receita'!$D$46))/1000000*(Premissas!$B$15/Premissas!$B$76),0)</f>
        <v/>
      </c>
      <c r="F90" s="11">
        <f>ROUNDDOWN(MAX(0,('Projeção Receita'!F46-'Projeção Receita'!$D$46))/1000000*(Premissas!$B$15/Premissas!$B$76),0)</f>
        <v/>
      </c>
      <c r="G90" s="11">
        <f>ROUNDDOWN(MAX(0,('Projeção Receita'!G46-'Projeção Receita'!$D$46))/1000000*(Premissas!$B$15/Premissas!$B$76),0)</f>
        <v/>
      </c>
      <c r="H90" s="11">
        <f>ROUNDDOWN(MAX(0,('Projeção Receita'!H46-'Projeção Receita'!$D$46))/1000000*(Premissas!$B$15/Premissas!$B$76),0)</f>
        <v/>
      </c>
      <c r="I90" s="11">
        <f>ROUNDDOWN(MAX(0,('Projeção Receita'!I46-'Projeção Receita'!$D$46))/1000000*(Premissas!$B$15/Premissas!$B$76),0)</f>
        <v/>
      </c>
    </row>
    <row r="91">
      <c r="A91" s="11" t="inlineStr">
        <is>
          <t>PI</t>
        </is>
      </c>
      <c r="B91" s="11" t="inlineStr">
        <is>
          <t>Piauí</t>
        </is>
      </c>
      <c r="C91" s="11" t="inlineStr">
        <is>
          <t>Comercial (B2B)</t>
        </is>
      </c>
      <c r="D91" s="11" t="n">
        <v>0</v>
      </c>
      <c r="E91" s="11">
        <f>$D$91+ROUNDDOWN(MAX(0,'Projeção Receita'!E47-'Projeção Receita'!$D$47)/(Premissas!$B$14*Premissas!$B$75),0)</f>
        <v/>
      </c>
      <c r="F91" s="11">
        <f>$D$91+ROUNDDOWN(MAX(0,'Projeção Receita'!F47-'Projeção Receita'!$D$47)/(Premissas!$B$14*Premissas!$B$75),0)</f>
        <v/>
      </c>
      <c r="G91" s="11">
        <f>$D$91+ROUNDDOWN(MAX(0,'Projeção Receita'!G47-'Projeção Receita'!$D$47)/(Premissas!$B$14*Premissas!$B$75),0)</f>
        <v/>
      </c>
      <c r="H91" s="11">
        <f>$D$91+ROUNDDOWN(MAX(0,'Projeção Receita'!H47-'Projeção Receita'!$D$47)/(Premissas!$B$14*Premissas!$B$75),0)</f>
        <v/>
      </c>
      <c r="I91" s="11">
        <f>$D$91+ROUNDDOWN(MAX(0,'Projeção Receita'!I47-'Projeção Receita'!$D$47)/(Premissas!$B$14*Premissas!$B$75),0)</f>
        <v/>
      </c>
    </row>
    <row r="92">
      <c r="A92" s="11" t="inlineStr">
        <is>
          <t>PI</t>
        </is>
      </c>
      <c r="B92" s="11" t="inlineStr">
        <is>
          <t>Piauí</t>
        </is>
      </c>
      <c r="C92" s="11" t="inlineStr">
        <is>
          <t>Baristas (B2B)</t>
        </is>
      </c>
      <c r="D92" s="11" t="n">
        <v>0</v>
      </c>
      <c r="E92" s="11">
        <f>ROUNDUP(E91*Premissas!$B$16,0)</f>
        <v/>
      </c>
      <c r="F92" s="11">
        <f>ROUNDUP(F91*Premissas!$B$16,0)</f>
        <v/>
      </c>
      <c r="G92" s="11">
        <f>ROUNDUP(G91*Premissas!$B$16,0)</f>
        <v/>
      </c>
      <c r="H92" s="11">
        <f>ROUNDUP(H91*Premissas!$B$16,0)</f>
        <v/>
      </c>
      <c r="I92" s="11">
        <f>ROUNDUP(I91*Premissas!$B$16,0)</f>
        <v/>
      </c>
    </row>
    <row r="93">
      <c r="A93" s="11" t="inlineStr">
        <is>
          <t>RN</t>
        </is>
      </c>
      <c r="B93" s="11" t="inlineStr">
        <is>
          <t>Rio Grande do Norte</t>
        </is>
      </c>
      <c r="C93" s="11" t="inlineStr">
        <is>
          <t>Representante (Varejo terceiro)</t>
        </is>
      </c>
      <c r="D93" s="11" t="n">
        <v>0</v>
      </c>
      <c r="E93" s="11">
        <f>$D$93+ROUNDDOWN(MAX(0,'Projeção Receita'!E48-'Projeção Receita'!$D$48)/(Premissas!$B$14*Premissas!$B$75),0)</f>
        <v/>
      </c>
      <c r="F93" s="11">
        <f>$D$93+ROUNDDOWN(MAX(0,'Projeção Receita'!F48-'Projeção Receita'!$D$48)/(Premissas!$B$14*Premissas!$B$75),0)</f>
        <v/>
      </c>
      <c r="G93" s="11">
        <f>$D$93+ROUNDDOWN(MAX(0,'Projeção Receita'!G48-'Projeção Receita'!$D$48)/(Premissas!$B$14*Premissas!$B$75),0)</f>
        <v/>
      </c>
      <c r="H93" s="11">
        <f>$D$93+ROUNDDOWN(MAX(0,'Projeção Receita'!H48-'Projeção Receita'!$D$48)/(Premissas!$B$14*Premissas!$B$75),0)</f>
        <v/>
      </c>
      <c r="I93" s="11">
        <f>$D$93+ROUNDDOWN(MAX(0,'Projeção Receita'!I48-'Projeção Receita'!$D$48)/(Premissas!$B$14*Premissas!$B$75),0)</f>
        <v/>
      </c>
    </row>
    <row r="94">
      <c r="A94" s="11" t="inlineStr">
        <is>
          <t>RN</t>
        </is>
      </c>
      <c r="B94" s="11" t="inlineStr">
        <is>
          <t>Rio Grande do Norte</t>
        </is>
      </c>
      <c r="C94" s="11" t="inlineStr">
        <is>
          <t>Promotores/Abordadores (via agência)</t>
        </is>
      </c>
      <c r="D94" s="11" t="n">
        <v>0</v>
      </c>
      <c r="E94" s="11">
        <f>ROUNDDOWN(MAX(0,('Projeção Receita'!E48-'Projeção Receita'!$D$48))/1000000*(Premissas!$B$15/Premissas!$B$76),0)</f>
        <v/>
      </c>
      <c r="F94" s="11">
        <f>ROUNDDOWN(MAX(0,('Projeção Receita'!F48-'Projeção Receita'!$D$48))/1000000*(Premissas!$B$15/Premissas!$B$76),0)</f>
        <v/>
      </c>
      <c r="G94" s="11">
        <f>ROUNDDOWN(MAX(0,('Projeção Receita'!G48-'Projeção Receita'!$D$48))/1000000*(Premissas!$B$15/Premissas!$B$76),0)</f>
        <v/>
      </c>
      <c r="H94" s="11">
        <f>ROUNDDOWN(MAX(0,('Projeção Receita'!H48-'Projeção Receita'!$D$48))/1000000*(Premissas!$B$15/Premissas!$B$76),0)</f>
        <v/>
      </c>
      <c r="I94" s="11">
        <f>ROUNDDOWN(MAX(0,('Projeção Receita'!I48-'Projeção Receita'!$D$48))/1000000*(Premissas!$B$15/Premissas!$B$76),0)</f>
        <v/>
      </c>
    </row>
    <row r="95">
      <c r="A95" s="11" t="inlineStr">
        <is>
          <t>RN</t>
        </is>
      </c>
      <c r="B95" s="11" t="inlineStr">
        <is>
          <t>Rio Grande do Norte</t>
        </is>
      </c>
      <c r="C95" s="11" t="inlineStr">
        <is>
          <t>Comercial (B2B)</t>
        </is>
      </c>
      <c r="D95" s="11" t="n">
        <v>0</v>
      </c>
      <c r="E95" s="11">
        <f>$D$95+ROUNDDOWN(MAX(0,'Projeção Receita'!E49-'Projeção Receita'!$D$49)/(Premissas!$B$14*Premissas!$B$75),0)</f>
        <v/>
      </c>
      <c r="F95" s="11">
        <f>$D$95+ROUNDDOWN(MAX(0,'Projeção Receita'!F49-'Projeção Receita'!$D$49)/(Premissas!$B$14*Premissas!$B$75),0)</f>
        <v/>
      </c>
      <c r="G95" s="11">
        <f>$D$95+ROUNDDOWN(MAX(0,'Projeção Receita'!G49-'Projeção Receita'!$D$49)/(Premissas!$B$14*Premissas!$B$75),0)</f>
        <v/>
      </c>
      <c r="H95" s="11">
        <f>$D$95+ROUNDDOWN(MAX(0,'Projeção Receita'!H49-'Projeção Receita'!$D$49)/(Premissas!$B$14*Premissas!$B$75),0)</f>
        <v/>
      </c>
      <c r="I95" s="11">
        <f>$D$95+ROUNDDOWN(MAX(0,'Projeção Receita'!I49-'Projeção Receita'!$D$49)/(Premissas!$B$14*Premissas!$B$75),0)</f>
        <v/>
      </c>
    </row>
    <row r="96">
      <c r="A96" s="11" t="inlineStr">
        <is>
          <t>RN</t>
        </is>
      </c>
      <c r="B96" s="11" t="inlineStr">
        <is>
          <t>Rio Grande do Norte</t>
        </is>
      </c>
      <c r="C96" s="11" t="inlineStr">
        <is>
          <t>Baristas (B2B)</t>
        </is>
      </c>
      <c r="D96" s="11" t="n">
        <v>0</v>
      </c>
      <c r="E96" s="11">
        <f>ROUNDUP(E95*Premissas!$B$16,0)</f>
        <v/>
      </c>
      <c r="F96" s="11">
        <f>ROUNDUP(F95*Premissas!$B$16,0)</f>
        <v/>
      </c>
      <c r="G96" s="11">
        <f>ROUNDUP(G95*Premissas!$B$16,0)</f>
        <v/>
      </c>
      <c r="H96" s="11">
        <f>ROUNDUP(H95*Premissas!$B$16,0)</f>
        <v/>
      </c>
      <c r="I96" s="11">
        <f>ROUNDUP(I95*Premissas!$B$16,0)</f>
        <v/>
      </c>
    </row>
    <row r="97">
      <c r="A97" s="11" t="inlineStr">
        <is>
          <t>RO</t>
        </is>
      </c>
      <c r="B97" s="11" t="inlineStr">
        <is>
          <t>Rondônia</t>
        </is>
      </c>
      <c r="C97" s="11" t="inlineStr">
        <is>
          <t>Representante (Varejo terceiro)</t>
        </is>
      </c>
      <c r="D97" s="11" t="n">
        <v>0</v>
      </c>
      <c r="E97" s="11">
        <f>$D$97+ROUNDDOWN(MAX(0,'Projeção Receita'!E50-'Projeção Receita'!$D$50)/(Premissas!$B$14*Premissas!$B$75),0)</f>
        <v/>
      </c>
      <c r="F97" s="11">
        <f>$D$97+ROUNDDOWN(MAX(0,'Projeção Receita'!F50-'Projeção Receita'!$D$50)/(Premissas!$B$14*Premissas!$B$75),0)</f>
        <v/>
      </c>
      <c r="G97" s="11">
        <f>$D$97+ROUNDDOWN(MAX(0,'Projeção Receita'!G50-'Projeção Receita'!$D$50)/(Premissas!$B$14*Premissas!$B$75),0)</f>
        <v/>
      </c>
      <c r="H97" s="11">
        <f>$D$97+ROUNDDOWN(MAX(0,'Projeção Receita'!H50-'Projeção Receita'!$D$50)/(Premissas!$B$14*Premissas!$B$75),0)</f>
        <v/>
      </c>
      <c r="I97" s="11">
        <f>$D$97+ROUNDDOWN(MAX(0,'Projeção Receita'!I50-'Projeção Receita'!$D$50)/(Premissas!$B$14*Premissas!$B$75),0)</f>
        <v/>
      </c>
    </row>
    <row r="98">
      <c r="A98" s="11" t="inlineStr">
        <is>
          <t>RO</t>
        </is>
      </c>
      <c r="B98" s="11" t="inlineStr">
        <is>
          <t>Rondônia</t>
        </is>
      </c>
      <c r="C98" s="11" t="inlineStr">
        <is>
          <t>Promotores/Abordadores (via agência)</t>
        </is>
      </c>
      <c r="D98" s="11" t="n">
        <v>0</v>
      </c>
      <c r="E98" s="11">
        <f>ROUNDDOWN(MAX(0,('Projeção Receita'!E50-'Projeção Receita'!$D$50))/1000000*(Premissas!$B$15/Premissas!$B$76),0)</f>
        <v/>
      </c>
      <c r="F98" s="11">
        <f>ROUNDDOWN(MAX(0,('Projeção Receita'!F50-'Projeção Receita'!$D$50))/1000000*(Premissas!$B$15/Premissas!$B$76),0)</f>
        <v/>
      </c>
      <c r="G98" s="11">
        <f>ROUNDDOWN(MAX(0,('Projeção Receita'!G50-'Projeção Receita'!$D$50))/1000000*(Premissas!$B$15/Premissas!$B$76),0)</f>
        <v/>
      </c>
      <c r="H98" s="11">
        <f>ROUNDDOWN(MAX(0,('Projeção Receita'!H50-'Projeção Receita'!$D$50))/1000000*(Premissas!$B$15/Premissas!$B$76),0)</f>
        <v/>
      </c>
      <c r="I98" s="11">
        <f>ROUNDDOWN(MAX(0,('Projeção Receita'!I50-'Projeção Receita'!$D$50))/1000000*(Premissas!$B$15/Premissas!$B$76),0)</f>
        <v/>
      </c>
    </row>
    <row r="99">
      <c r="A99" s="11" t="inlineStr">
        <is>
          <t>RO</t>
        </is>
      </c>
      <c r="B99" s="11" t="inlineStr">
        <is>
          <t>Rondônia</t>
        </is>
      </c>
      <c r="C99" s="11" t="inlineStr">
        <is>
          <t>Comercial (B2B)</t>
        </is>
      </c>
      <c r="D99" s="11" t="n">
        <v>0</v>
      </c>
      <c r="E99" s="11">
        <f>$D$99+ROUNDDOWN(MAX(0,'Projeção Receita'!E51-'Projeção Receita'!$D$51)/(Premissas!$B$14*Premissas!$B$75),0)</f>
        <v/>
      </c>
      <c r="F99" s="11">
        <f>$D$99+ROUNDDOWN(MAX(0,'Projeção Receita'!F51-'Projeção Receita'!$D$51)/(Premissas!$B$14*Premissas!$B$75),0)</f>
        <v/>
      </c>
      <c r="G99" s="11">
        <f>$D$99+ROUNDDOWN(MAX(0,'Projeção Receita'!G51-'Projeção Receita'!$D$51)/(Premissas!$B$14*Premissas!$B$75),0)</f>
        <v/>
      </c>
      <c r="H99" s="11">
        <f>$D$99+ROUNDDOWN(MAX(0,'Projeção Receita'!H51-'Projeção Receita'!$D$51)/(Premissas!$B$14*Premissas!$B$75),0)</f>
        <v/>
      </c>
      <c r="I99" s="11">
        <f>$D$99+ROUNDDOWN(MAX(0,'Projeção Receita'!I51-'Projeção Receita'!$D$51)/(Premissas!$B$14*Premissas!$B$75),0)</f>
        <v/>
      </c>
    </row>
    <row r="100">
      <c r="A100" s="11" t="inlineStr">
        <is>
          <t>RO</t>
        </is>
      </c>
      <c r="B100" s="11" t="inlineStr">
        <is>
          <t>Rondônia</t>
        </is>
      </c>
      <c r="C100" s="11" t="inlineStr">
        <is>
          <t>Baristas (B2B)</t>
        </is>
      </c>
      <c r="D100" s="11" t="n">
        <v>0</v>
      </c>
      <c r="E100" s="11">
        <f>ROUNDUP(E99*Premissas!$B$16,0)</f>
        <v/>
      </c>
      <c r="F100" s="11">
        <f>ROUNDUP(F99*Premissas!$B$16,0)</f>
        <v/>
      </c>
      <c r="G100" s="11">
        <f>ROUNDUP(G99*Premissas!$B$16,0)</f>
        <v/>
      </c>
      <c r="H100" s="11">
        <f>ROUNDUP(H99*Premissas!$B$16,0)</f>
        <v/>
      </c>
      <c r="I100" s="11">
        <f>ROUNDUP(I99*Premissas!$B$16,0)</f>
        <v/>
      </c>
    </row>
    <row r="101">
      <c r="A101" s="11" t="inlineStr">
        <is>
          <t>RR</t>
        </is>
      </c>
      <c r="B101" s="11" t="inlineStr">
        <is>
          <t>Roraima</t>
        </is>
      </c>
      <c r="C101" s="11" t="inlineStr">
        <is>
          <t>Representante (Varejo terceiro)</t>
        </is>
      </c>
      <c r="D101" s="11" t="n">
        <v>0</v>
      </c>
      <c r="E101" s="11">
        <f>$D$101+ROUNDDOWN(MAX(0,'Projeção Receita'!E52-'Projeção Receita'!$D$52)/(Premissas!$B$14*Premissas!$B$75),0)</f>
        <v/>
      </c>
      <c r="F101" s="11">
        <f>$D$101+ROUNDDOWN(MAX(0,'Projeção Receita'!F52-'Projeção Receita'!$D$52)/(Premissas!$B$14*Premissas!$B$75),0)</f>
        <v/>
      </c>
      <c r="G101" s="11">
        <f>$D$101+ROUNDDOWN(MAX(0,'Projeção Receita'!G52-'Projeção Receita'!$D$52)/(Premissas!$B$14*Premissas!$B$75),0)</f>
        <v/>
      </c>
      <c r="H101" s="11">
        <f>$D$101+ROUNDDOWN(MAX(0,'Projeção Receita'!H52-'Projeção Receita'!$D$52)/(Premissas!$B$14*Premissas!$B$75),0)</f>
        <v/>
      </c>
      <c r="I101" s="11">
        <f>$D$101+ROUNDDOWN(MAX(0,'Projeção Receita'!I52-'Projeção Receita'!$D$52)/(Premissas!$B$14*Premissas!$B$75),0)</f>
        <v/>
      </c>
    </row>
    <row r="102">
      <c r="A102" s="11" t="inlineStr">
        <is>
          <t>RR</t>
        </is>
      </c>
      <c r="B102" s="11" t="inlineStr">
        <is>
          <t>Roraima</t>
        </is>
      </c>
      <c r="C102" s="11" t="inlineStr">
        <is>
          <t>Promotores/Abordadores (via agência)</t>
        </is>
      </c>
      <c r="D102" s="11" t="n">
        <v>0</v>
      </c>
      <c r="E102" s="11">
        <f>ROUNDDOWN(MAX(0,('Projeção Receita'!E52-'Projeção Receita'!$D$52))/1000000*(Premissas!$B$15/Premissas!$B$76),0)</f>
        <v/>
      </c>
      <c r="F102" s="11">
        <f>ROUNDDOWN(MAX(0,('Projeção Receita'!F52-'Projeção Receita'!$D$52))/1000000*(Premissas!$B$15/Premissas!$B$76),0)</f>
        <v/>
      </c>
      <c r="G102" s="11">
        <f>ROUNDDOWN(MAX(0,('Projeção Receita'!G52-'Projeção Receita'!$D$52))/1000000*(Premissas!$B$15/Premissas!$B$76),0)</f>
        <v/>
      </c>
      <c r="H102" s="11">
        <f>ROUNDDOWN(MAX(0,('Projeção Receita'!H52-'Projeção Receita'!$D$52))/1000000*(Premissas!$B$15/Premissas!$B$76),0)</f>
        <v/>
      </c>
      <c r="I102" s="11">
        <f>ROUNDDOWN(MAX(0,('Projeção Receita'!I52-'Projeção Receita'!$D$52))/1000000*(Premissas!$B$15/Premissas!$B$76),0)</f>
        <v/>
      </c>
    </row>
    <row r="103">
      <c r="A103" s="11" t="inlineStr">
        <is>
          <t>RR</t>
        </is>
      </c>
      <c r="B103" s="11" t="inlineStr">
        <is>
          <t>Roraima</t>
        </is>
      </c>
      <c r="C103" s="11" t="inlineStr">
        <is>
          <t>Comercial (B2B)</t>
        </is>
      </c>
      <c r="D103" s="11" t="n">
        <v>0</v>
      </c>
      <c r="E103" s="11">
        <f>$D$103+ROUNDDOWN(MAX(0,'Projeção Receita'!E53-'Projeção Receita'!$D$53)/(Premissas!$B$14*Premissas!$B$75),0)</f>
        <v/>
      </c>
      <c r="F103" s="11">
        <f>$D$103+ROUNDDOWN(MAX(0,'Projeção Receita'!F53-'Projeção Receita'!$D$53)/(Premissas!$B$14*Premissas!$B$75),0)</f>
        <v/>
      </c>
      <c r="G103" s="11">
        <f>$D$103+ROUNDDOWN(MAX(0,'Projeção Receita'!G53-'Projeção Receita'!$D$53)/(Premissas!$B$14*Premissas!$B$75),0)</f>
        <v/>
      </c>
      <c r="H103" s="11">
        <f>$D$103+ROUNDDOWN(MAX(0,'Projeção Receita'!H53-'Projeção Receita'!$D$53)/(Premissas!$B$14*Premissas!$B$75),0)</f>
        <v/>
      </c>
      <c r="I103" s="11">
        <f>$D$103+ROUNDDOWN(MAX(0,'Projeção Receita'!I53-'Projeção Receita'!$D$53)/(Premissas!$B$14*Premissas!$B$75),0)</f>
        <v/>
      </c>
    </row>
    <row r="104">
      <c r="A104" s="11" t="inlineStr">
        <is>
          <t>RR</t>
        </is>
      </c>
      <c r="B104" s="11" t="inlineStr">
        <is>
          <t>Roraima</t>
        </is>
      </c>
      <c r="C104" s="11" t="inlineStr">
        <is>
          <t>Baristas (B2B)</t>
        </is>
      </c>
      <c r="D104" s="11" t="n">
        <v>0</v>
      </c>
      <c r="E104" s="11">
        <f>ROUNDUP(E103*Premissas!$B$16,0)</f>
        <v/>
      </c>
      <c r="F104" s="11">
        <f>ROUNDUP(F103*Premissas!$B$16,0)</f>
        <v/>
      </c>
      <c r="G104" s="11">
        <f>ROUNDUP(G103*Premissas!$B$16,0)</f>
        <v/>
      </c>
      <c r="H104" s="11">
        <f>ROUNDUP(H103*Premissas!$B$16,0)</f>
        <v/>
      </c>
      <c r="I104" s="11">
        <f>ROUNDUP(I103*Premissas!$B$16,0)</f>
        <v/>
      </c>
    </row>
    <row r="105">
      <c r="A105" s="11" t="inlineStr">
        <is>
          <t>SE</t>
        </is>
      </c>
      <c r="B105" s="11" t="inlineStr">
        <is>
          <t>Sergipe</t>
        </is>
      </c>
      <c r="C105" s="11" t="inlineStr">
        <is>
          <t>Representante (Varejo terceiro)</t>
        </is>
      </c>
      <c r="D105" s="11" t="n">
        <v>0</v>
      </c>
      <c r="E105" s="11">
        <f>$D$105+ROUNDDOWN(MAX(0,'Projeção Receita'!E54-'Projeção Receita'!$D$54)/(Premissas!$B$14*Premissas!$B$75),0)</f>
        <v/>
      </c>
      <c r="F105" s="11">
        <f>$D$105+ROUNDDOWN(MAX(0,'Projeção Receita'!F54-'Projeção Receita'!$D$54)/(Premissas!$B$14*Premissas!$B$75),0)</f>
        <v/>
      </c>
      <c r="G105" s="11">
        <f>$D$105+ROUNDDOWN(MAX(0,'Projeção Receita'!G54-'Projeção Receita'!$D$54)/(Premissas!$B$14*Premissas!$B$75),0)</f>
        <v/>
      </c>
      <c r="H105" s="11">
        <f>$D$105+ROUNDDOWN(MAX(0,'Projeção Receita'!H54-'Projeção Receita'!$D$54)/(Premissas!$B$14*Premissas!$B$75),0)</f>
        <v/>
      </c>
      <c r="I105" s="11">
        <f>$D$105+ROUNDDOWN(MAX(0,'Projeção Receita'!I54-'Projeção Receita'!$D$54)/(Premissas!$B$14*Premissas!$B$75),0)</f>
        <v/>
      </c>
    </row>
    <row r="106">
      <c r="A106" s="11" t="inlineStr">
        <is>
          <t>SE</t>
        </is>
      </c>
      <c r="B106" s="11" t="inlineStr">
        <is>
          <t>Sergipe</t>
        </is>
      </c>
      <c r="C106" s="11" t="inlineStr">
        <is>
          <t>Promotores/Abordadores (via agência)</t>
        </is>
      </c>
      <c r="D106" s="11" t="n">
        <v>0</v>
      </c>
      <c r="E106" s="11">
        <f>ROUNDDOWN(MAX(0,('Projeção Receita'!E54-'Projeção Receita'!$D$54))/1000000*(Premissas!$B$15/Premissas!$B$76),0)</f>
        <v/>
      </c>
      <c r="F106" s="11">
        <f>ROUNDDOWN(MAX(0,('Projeção Receita'!F54-'Projeção Receita'!$D$54))/1000000*(Premissas!$B$15/Premissas!$B$76),0)</f>
        <v/>
      </c>
      <c r="G106" s="11">
        <f>ROUNDDOWN(MAX(0,('Projeção Receita'!G54-'Projeção Receita'!$D$54))/1000000*(Premissas!$B$15/Premissas!$B$76),0)</f>
        <v/>
      </c>
      <c r="H106" s="11">
        <f>ROUNDDOWN(MAX(0,('Projeção Receita'!H54-'Projeção Receita'!$D$54))/1000000*(Premissas!$B$15/Premissas!$B$76),0)</f>
        <v/>
      </c>
      <c r="I106" s="11">
        <f>ROUNDDOWN(MAX(0,('Projeção Receita'!I54-'Projeção Receita'!$D$54))/1000000*(Premissas!$B$15/Premissas!$B$76),0)</f>
        <v/>
      </c>
    </row>
    <row r="107">
      <c r="A107" s="11" t="inlineStr">
        <is>
          <t>SE</t>
        </is>
      </c>
      <c r="B107" s="11" t="inlineStr">
        <is>
          <t>Sergipe</t>
        </is>
      </c>
      <c r="C107" s="11" t="inlineStr">
        <is>
          <t>Comercial (B2B)</t>
        </is>
      </c>
      <c r="D107" s="11" t="n">
        <v>0</v>
      </c>
      <c r="E107" s="11">
        <f>$D$107+ROUNDDOWN(MAX(0,'Projeção Receita'!E55-'Projeção Receita'!$D$55)/(Premissas!$B$14*Premissas!$B$75),0)</f>
        <v/>
      </c>
      <c r="F107" s="11">
        <f>$D$107+ROUNDDOWN(MAX(0,'Projeção Receita'!F55-'Projeção Receita'!$D$55)/(Premissas!$B$14*Premissas!$B$75),0)</f>
        <v/>
      </c>
      <c r="G107" s="11">
        <f>$D$107+ROUNDDOWN(MAX(0,'Projeção Receita'!G55-'Projeção Receita'!$D$55)/(Premissas!$B$14*Premissas!$B$75),0)</f>
        <v/>
      </c>
      <c r="H107" s="11">
        <f>$D$107+ROUNDDOWN(MAX(0,'Projeção Receita'!H55-'Projeção Receita'!$D$55)/(Premissas!$B$14*Premissas!$B$75),0)</f>
        <v/>
      </c>
      <c r="I107" s="11">
        <f>$D$107+ROUNDDOWN(MAX(0,'Projeção Receita'!I55-'Projeção Receita'!$D$55)/(Premissas!$B$14*Premissas!$B$75),0)</f>
        <v/>
      </c>
    </row>
    <row r="108">
      <c r="A108" s="11" t="inlineStr">
        <is>
          <t>SE</t>
        </is>
      </c>
      <c r="B108" s="11" t="inlineStr">
        <is>
          <t>Sergipe</t>
        </is>
      </c>
      <c r="C108" s="11" t="inlineStr">
        <is>
          <t>Baristas (B2B)</t>
        </is>
      </c>
      <c r="D108" s="11" t="n">
        <v>0</v>
      </c>
      <c r="E108" s="11">
        <f>ROUNDUP(E107*Premissas!$B$16,0)</f>
        <v/>
      </c>
      <c r="F108" s="11">
        <f>ROUNDUP(F107*Premissas!$B$16,0)</f>
        <v/>
      </c>
      <c r="G108" s="11">
        <f>ROUNDUP(G107*Premissas!$B$16,0)</f>
        <v/>
      </c>
      <c r="H108" s="11">
        <f>ROUNDUP(H107*Premissas!$B$16,0)</f>
        <v/>
      </c>
      <c r="I108" s="11">
        <f>ROUNDUP(I107*Premissas!$B$16,0)</f>
        <v/>
      </c>
    </row>
    <row r="109">
      <c r="A109" s="11" t="inlineStr">
        <is>
          <t>TO</t>
        </is>
      </c>
      <c r="B109" s="11" t="inlineStr">
        <is>
          <t>Tocantins</t>
        </is>
      </c>
      <c r="C109" s="11" t="inlineStr">
        <is>
          <t>Representante (Varejo terceiro)</t>
        </is>
      </c>
      <c r="D109" s="11" t="n">
        <v>0</v>
      </c>
      <c r="E109" s="11">
        <f>$D$109+ROUNDDOWN(MAX(0,'Projeção Receita'!E56-'Projeção Receita'!$D$56)/(Premissas!$B$14*Premissas!$B$75),0)</f>
        <v/>
      </c>
      <c r="F109" s="11">
        <f>$D$109+ROUNDDOWN(MAX(0,'Projeção Receita'!F56-'Projeção Receita'!$D$56)/(Premissas!$B$14*Premissas!$B$75),0)</f>
        <v/>
      </c>
      <c r="G109" s="11">
        <f>$D$109+ROUNDDOWN(MAX(0,'Projeção Receita'!G56-'Projeção Receita'!$D$56)/(Premissas!$B$14*Premissas!$B$75),0)</f>
        <v/>
      </c>
      <c r="H109" s="11">
        <f>$D$109+ROUNDDOWN(MAX(0,'Projeção Receita'!H56-'Projeção Receita'!$D$56)/(Premissas!$B$14*Premissas!$B$75),0)</f>
        <v/>
      </c>
      <c r="I109" s="11">
        <f>$D$109+ROUNDDOWN(MAX(0,'Projeção Receita'!I56-'Projeção Receita'!$D$56)/(Premissas!$B$14*Premissas!$B$75),0)</f>
        <v/>
      </c>
    </row>
    <row r="110">
      <c r="A110" s="11" t="inlineStr">
        <is>
          <t>TO</t>
        </is>
      </c>
      <c r="B110" s="11" t="inlineStr">
        <is>
          <t>Tocantins</t>
        </is>
      </c>
      <c r="C110" s="11" t="inlineStr">
        <is>
          <t>Promotores/Abordadores (via agência)</t>
        </is>
      </c>
      <c r="D110" s="11" t="n">
        <v>0</v>
      </c>
      <c r="E110" s="11">
        <f>ROUNDDOWN(MAX(0,('Projeção Receita'!E56-'Projeção Receita'!$D$56))/1000000*(Premissas!$B$15/Premissas!$B$76),0)</f>
        <v/>
      </c>
      <c r="F110" s="11">
        <f>ROUNDDOWN(MAX(0,('Projeção Receita'!F56-'Projeção Receita'!$D$56))/1000000*(Premissas!$B$15/Premissas!$B$76),0)</f>
        <v/>
      </c>
      <c r="G110" s="11">
        <f>ROUNDDOWN(MAX(0,('Projeção Receita'!G56-'Projeção Receita'!$D$56))/1000000*(Premissas!$B$15/Premissas!$B$76),0)</f>
        <v/>
      </c>
      <c r="H110" s="11">
        <f>ROUNDDOWN(MAX(0,('Projeção Receita'!H56-'Projeção Receita'!$D$56))/1000000*(Premissas!$B$15/Premissas!$B$76),0)</f>
        <v/>
      </c>
      <c r="I110" s="11">
        <f>ROUNDDOWN(MAX(0,('Projeção Receita'!I56-'Projeção Receita'!$D$56))/1000000*(Premissas!$B$15/Premissas!$B$76),0)</f>
        <v/>
      </c>
    </row>
    <row r="111">
      <c r="A111" s="11" t="inlineStr">
        <is>
          <t>TO</t>
        </is>
      </c>
      <c r="B111" s="11" t="inlineStr">
        <is>
          <t>Tocantins</t>
        </is>
      </c>
      <c r="C111" s="11" t="inlineStr">
        <is>
          <t>Comercial (B2B)</t>
        </is>
      </c>
      <c r="D111" s="11" t="n">
        <v>0</v>
      </c>
      <c r="E111" s="11">
        <f>$D$111+ROUNDDOWN(MAX(0,'Projeção Receita'!E57-'Projeção Receita'!$D$57)/(Premissas!$B$14*Premissas!$B$75),0)</f>
        <v/>
      </c>
      <c r="F111" s="11">
        <f>$D$111+ROUNDDOWN(MAX(0,'Projeção Receita'!F57-'Projeção Receita'!$D$57)/(Premissas!$B$14*Premissas!$B$75),0)</f>
        <v/>
      </c>
      <c r="G111" s="11">
        <f>$D$111+ROUNDDOWN(MAX(0,'Projeção Receita'!G57-'Projeção Receita'!$D$57)/(Premissas!$B$14*Premissas!$B$75),0)</f>
        <v/>
      </c>
      <c r="H111" s="11">
        <f>$D$111+ROUNDDOWN(MAX(0,'Projeção Receita'!H57-'Projeção Receita'!$D$57)/(Premissas!$B$14*Premissas!$B$75),0)</f>
        <v/>
      </c>
      <c r="I111" s="11">
        <f>$D$111+ROUNDDOWN(MAX(0,'Projeção Receita'!I57-'Projeção Receita'!$D$57)/(Premissas!$B$14*Premissas!$B$75),0)</f>
        <v/>
      </c>
    </row>
    <row r="112">
      <c r="A112" s="11" t="inlineStr">
        <is>
          <t>TO</t>
        </is>
      </c>
      <c r="B112" s="11" t="inlineStr">
        <is>
          <t>Tocantins</t>
        </is>
      </c>
      <c r="C112" s="11" t="inlineStr">
        <is>
          <t>Baristas (B2B)</t>
        </is>
      </c>
      <c r="D112" s="11" t="n">
        <v>0</v>
      </c>
      <c r="E112" s="11">
        <f>ROUNDUP(E111*Premissas!$B$16,0)</f>
        <v/>
      </c>
      <c r="F112" s="11">
        <f>ROUNDUP(F111*Premissas!$B$16,0)</f>
        <v/>
      </c>
      <c r="G112" s="11">
        <f>ROUNDUP(G111*Premissas!$B$16,0)</f>
        <v/>
      </c>
      <c r="H112" s="11">
        <f>ROUNDUP(H111*Premissas!$B$16,0)</f>
        <v/>
      </c>
      <c r="I112" s="11">
        <f>ROUNDUP(I111*Premissas!$B$16,0)</f>
        <v/>
      </c>
    </row>
    <row r="114">
      <c r="C114" s="18" t="inlineStr">
        <is>
          <t>TOTAL FUNCIONÁRIOS COMERCIAIS (linha de frente)</t>
        </is>
      </c>
      <c r="D114" s="20">
        <f>SUM(D5:D112)</f>
        <v/>
      </c>
      <c r="E114" s="20">
        <f>SUM(E5:E112)</f>
        <v/>
      </c>
      <c r="F114" s="20">
        <f>SUM(F5:F112)</f>
        <v/>
      </c>
      <c r="G114" s="20">
        <f>SUM(G5:G112)</f>
        <v/>
      </c>
      <c r="H114" s="20">
        <f>SUM(H5:H112)</f>
        <v/>
      </c>
      <c r="I114" s="20">
        <f>SUM(I5:I112)</f>
        <v/>
      </c>
    </row>
    <row r="115">
      <c r="C115" s="21" t="inlineStr">
        <is>
          <t>Líderes sugeridos (Total ÷ Span médio)</t>
        </is>
      </c>
      <c r="D115" s="21">
        <f>ROUNDUP(D114/Premissas!$B$21,0)</f>
        <v/>
      </c>
      <c r="E115" s="21">
        <f>ROUNDUP(E114/Premissas!$B$21,0)</f>
        <v/>
      </c>
      <c r="F115" s="21">
        <f>ROUNDUP(F114/Premissas!$B$21,0)</f>
        <v/>
      </c>
      <c r="G115" s="21">
        <f>ROUNDUP(G114/Premissas!$B$21,0)</f>
        <v/>
      </c>
      <c r="H115" s="21">
        <f>ROUNDUP(H114/Premissas!$B$21,0)</f>
        <v/>
      </c>
      <c r="I115" s="21">
        <f>ROUNDUP(I114/Premissas!$B$21,0)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40" customWidth="1" min="9" max="9"/>
  </cols>
  <sheetData>
    <row r="1">
      <c r="A1" s="22" t="inlineStr">
        <is>
          <t>QUANTIDADE DE PESSOAS PROJETADAS POR FUNÇÃO NO TEMPO</t>
        </is>
      </c>
    </row>
    <row r="2" ht="28" customHeight="1">
      <c r="A2" s="23" t="inlineStr">
        <is>
          <t>Soma de todos os estados por função (aba 'Funcionários', linhas 5–112). Direto (SP/RJ) = payroll Orfeu — Vendedor e Promotor/Abordador próprios. Representante terceiro e Promotores/Abordadores via agência (demais estados) NÃO entram na folha — ver seção de custo abaixo. Não modela gerência (Gerente Varejo/Gerente B2B) — foco nos times; ver nota na seção de gestão da rede abaixo.</t>
        </is>
      </c>
    </row>
    <row r="4" ht="22" customHeight="1">
      <c r="A4" s="55" t="inlineStr">
        <is>
          <t>Função</t>
        </is>
      </c>
      <c r="B4" s="55" t="inlineStr">
        <is>
          <t>2025 (atual)</t>
        </is>
      </c>
      <c r="C4" s="55" t="inlineStr">
        <is>
          <t>2026</t>
        </is>
      </c>
      <c r="D4" s="55" t="inlineStr">
        <is>
          <t>2027</t>
        </is>
      </c>
      <c r="E4" s="55" t="inlineStr">
        <is>
          <t>2028</t>
        </is>
      </c>
      <c r="F4" s="55" t="inlineStr">
        <is>
          <t>2029</t>
        </is>
      </c>
      <c r="G4" s="55" t="inlineStr">
        <is>
          <t>2030</t>
        </is>
      </c>
      <c r="H4" s="56" t="n"/>
    </row>
    <row r="5">
      <c r="A5" s="25" t="inlineStr">
        <is>
          <t>Vendedor Varejo Direto (SP/RJ)</t>
        </is>
      </c>
      <c r="B5" s="57">
        <f>SUMIF(Funcionários!$C$5:$C$112,"Vendedor Varejo Direto (SP/RJ)",Funcionários!$D$5:$D$112)</f>
        <v/>
      </c>
      <c r="C5" s="57">
        <f>SUMIF(Funcionários!$C$5:$C$112,"Vendedor Varejo Direto (SP/RJ)",Funcionários!$E$5:$E$112)</f>
        <v/>
      </c>
      <c r="D5" s="57">
        <f>SUMIF(Funcionários!$C$5:$C$112,"Vendedor Varejo Direto (SP/RJ)",Funcionários!$F$5:$F$112)</f>
        <v/>
      </c>
      <c r="E5" s="57">
        <f>SUMIF(Funcionários!$C$5:$C$112,"Vendedor Varejo Direto (SP/RJ)",Funcionários!$G$5:$G$112)</f>
        <v/>
      </c>
      <c r="F5" s="57">
        <f>SUMIF(Funcionários!$C$5:$C$112,"Vendedor Varejo Direto (SP/RJ)",Funcionários!$H$5:$H$112)</f>
        <v/>
      </c>
      <c r="G5" s="57">
        <f>SUMIF(Funcionários!$C$5:$C$112,"Vendedor Varejo Direto (SP/RJ)",Funcionários!$I$5:$I$112)</f>
        <v/>
      </c>
      <c r="H5" s="56" t="n"/>
    </row>
    <row r="6">
      <c r="A6" s="27" t="inlineStr">
        <is>
          <t>Promotor/Abordador Próprio (SP/RJ)</t>
        </is>
      </c>
      <c r="B6" s="58">
        <f>SUMIF(Funcionários!$C$5:$C$112,"Promotor/Abordador Próprio (SP/RJ)",Funcionários!$D$5:$D$112)</f>
        <v/>
      </c>
      <c r="C6" s="58">
        <f>SUMIF(Funcionários!$C$5:$C$112,"Promotor/Abordador Próprio (SP/RJ)",Funcionários!$E$5:$E$112)</f>
        <v/>
      </c>
      <c r="D6" s="58">
        <f>SUMIF(Funcionários!$C$5:$C$112,"Promotor/Abordador Próprio (SP/RJ)",Funcionários!$F$5:$F$112)</f>
        <v/>
      </c>
      <c r="E6" s="58">
        <f>SUMIF(Funcionários!$C$5:$C$112,"Promotor/Abordador Próprio (SP/RJ)",Funcionários!$G$5:$G$112)</f>
        <v/>
      </c>
      <c r="F6" s="58">
        <f>SUMIF(Funcionários!$C$5:$C$112,"Promotor/Abordador Próprio (SP/RJ)",Funcionários!$H$5:$H$112)</f>
        <v/>
      </c>
      <c r="G6" s="58">
        <f>SUMIF(Funcionários!$C$5:$C$112,"Promotor/Abordador Próprio (SP/RJ)",Funcionários!$I$5:$I$112)</f>
        <v/>
      </c>
      <c r="H6" s="56" t="n"/>
    </row>
    <row r="7">
      <c r="A7" s="25" t="inlineStr">
        <is>
          <t>Representante (Varejo terceiro)</t>
        </is>
      </c>
      <c r="B7" s="57">
        <f>SUMIF(Funcionários!$C$5:$C$112,"Representante (Varejo terceiro)",Funcionários!$D$5:$D$112)</f>
        <v/>
      </c>
      <c r="C7" s="57">
        <f>SUMIF(Funcionários!$C$5:$C$112,"Representante (Varejo terceiro)",Funcionários!$E$5:$E$112)</f>
        <v/>
      </c>
      <c r="D7" s="57">
        <f>SUMIF(Funcionários!$C$5:$C$112,"Representante (Varejo terceiro)",Funcionários!$F$5:$F$112)</f>
        <v/>
      </c>
      <c r="E7" s="57">
        <f>SUMIF(Funcionários!$C$5:$C$112,"Representante (Varejo terceiro)",Funcionários!$G$5:$G$112)</f>
        <v/>
      </c>
      <c r="F7" s="57">
        <f>SUMIF(Funcionários!$C$5:$C$112,"Representante (Varejo terceiro)",Funcionários!$H$5:$H$112)</f>
        <v/>
      </c>
      <c r="G7" s="57">
        <f>SUMIF(Funcionários!$C$5:$C$112,"Representante (Varejo terceiro)",Funcionários!$I$5:$I$112)</f>
        <v/>
      </c>
      <c r="H7" s="56" t="n"/>
    </row>
    <row r="8">
      <c r="A8" s="27" t="inlineStr">
        <is>
          <t>Promotores/Abordadores (via agência)</t>
        </is>
      </c>
      <c r="B8" s="58">
        <f>SUMIF(Funcionários!$C$5:$C$112,"Promotores/Abordadores (via agência)",Funcionários!$D$5:$D$112)</f>
        <v/>
      </c>
      <c r="C8" s="58">
        <f>SUMIF(Funcionários!$C$5:$C$112,"Promotores/Abordadores (via agência)",Funcionários!$E$5:$E$112)</f>
        <v/>
      </c>
      <c r="D8" s="58">
        <f>SUMIF(Funcionários!$C$5:$C$112,"Promotores/Abordadores (via agência)",Funcionários!$F$5:$F$112)</f>
        <v/>
      </c>
      <c r="E8" s="58">
        <f>SUMIF(Funcionários!$C$5:$C$112,"Promotores/Abordadores (via agência)",Funcionários!$G$5:$G$112)</f>
        <v/>
      </c>
      <c r="F8" s="58">
        <f>SUMIF(Funcionários!$C$5:$C$112,"Promotores/Abordadores (via agência)",Funcionários!$H$5:$H$112)</f>
        <v/>
      </c>
      <c r="G8" s="58">
        <f>SUMIF(Funcionários!$C$5:$C$112,"Promotores/Abordadores (via agência)",Funcionários!$I$5:$I$112)</f>
        <v/>
      </c>
      <c r="H8" s="56" t="n"/>
    </row>
    <row r="9">
      <c r="A9" s="25" t="inlineStr">
        <is>
          <t>Comercial (B2B)</t>
        </is>
      </c>
      <c r="B9" s="57">
        <f>SUMIF(Funcionários!$C$5:$C$112,"Comercial (B2B)",Funcionários!$D$5:$D$112)</f>
        <v/>
      </c>
      <c r="C9" s="57">
        <f>SUMIF(Funcionários!$C$5:$C$112,"Comercial (B2B)",Funcionários!$E$5:$E$112)</f>
        <v/>
      </c>
      <c r="D9" s="57">
        <f>SUMIF(Funcionários!$C$5:$C$112,"Comercial (B2B)",Funcionários!$F$5:$F$112)</f>
        <v/>
      </c>
      <c r="E9" s="57">
        <f>SUMIF(Funcionários!$C$5:$C$112,"Comercial (B2B)",Funcionários!$G$5:$G$112)</f>
        <v/>
      </c>
      <c r="F9" s="57">
        <f>SUMIF(Funcionários!$C$5:$C$112,"Comercial (B2B)",Funcionários!$H$5:$H$112)</f>
        <v/>
      </c>
      <c r="G9" s="57">
        <f>SUMIF(Funcionários!$C$5:$C$112,"Comercial (B2B)",Funcionários!$I$5:$I$112)</f>
        <v/>
      </c>
      <c r="H9" s="56" t="n"/>
    </row>
    <row r="10">
      <c r="A10" s="27" t="inlineStr">
        <is>
          <t>Baristas (B2B)</t>
        </is>
      </c>
      <c r="B10" s="58">
        <f>SUMIF(Funcionários!$C$5:$C$112,"Baristas (B2B)",Funcionários!$D$5:$D$112)</f>
        <v/>
      </c>
      <c r="C10" s="58">
        <f>SUMIF(Funcionários!$C$5:$C$112,"Baristas (B2B)",Funcionários!$E$5:$E$112)</f>
        <v/>
      </c>
      <c r="D10" s="58">
        <f>SUMIF(Funcionários!$C$5:$C$112,"Baristas (B2B)",Funcionários!$F$5:$F$112)</f>
        <v/>
      </c>
      <c r="E10" s="58">
        <f>SUMIF(Funcionários!$C$5:$C$112,"Baristas (B2B)",Funcionários!$G$5:$G$112)</f>
        <v/>
      </c>
      <c r="F10" s="58">
        <f>SUMIF(Funcionários!$C$5:$C$112,"Baristas (B2B)",Funcionários!$H$5:$H$112)</f>
        <v/>
      </c>
      <c r="G10" s="58">
        <f>SUMIF(Funcionários!$C$5:$C$112,"Baristas (B2B)",Funcionários!$I$5:$I$112)</f>
        <v/>
      </c>
      <c r="H10" s="56" t="n"/>
    </row>
    <row r="11">
      <c r="A11" s="29" t="inlineStr">
        <is>
          <t>TOTAL — LINHA DE FRENTE</t>
        </is>
      </c>
      <c r="B11" s="30">
        <f>SUM(B5:B10)</f>
        <v/>
      </c>
      <c r="C11" s="30">
        <f>SUM(C5:C10)</f>
        <v/>
      </c>
      <c r="D11" s="30">
        <f>SUM(D5:D10)</f>
        <v/>
      </c>
      <c r="E11" s="30">
        <f>SUM(E5:E10)</f>
        <v/>
      </c>
      <c r="F11" s="30">
        <f>SUM(F5:F10)</f>
        <v/>
      </c>
      <c r="G11" s="30">
        <f>SUM(G5:G10)</f>
        <v/>
      </c>
      <c r="H11" s="56" t="n"/>
    </row>
    <row r="12">
      <c r="A12" s="31" t="inlineStr">
        <is>
          <t>Líderes sugeridos (Total ÷ Span médio)</t>
        </is>
      </c>
      <c r="B12" s="32">
        <f>ROUNDUP(B11/Premissas!$B$21,0)</f>
        <v/>
      </c>
      <c r="C12" s="32">
        <f>ROUNDUP(C11/Premissas!$B$21,0)</f>
        <v/>
      </c>
      <c r="D12" s="32">
        <f>ROUNDUP(D11/Premissas!$B$21,0)</f>
        <v/>
      </c>
      <c r="E12" s="32">
        <f>ROUNDUP(E11/Premissas!$B$21,0)</f>
        <v/>
      </c>
      <c r="F12" s="32">
        <f>ROUNDUP(F11/Premissas!$B$21,0)</f>
        <v/>
      </c>
      <c r="G12" s="32">
        <f>ROUNDUP(G11/Premissas!$B$21,0)</f>
        <v/>
      </c>
      <c r="H12" s="56" t="n"/>
    </row>
    <row r="13">
      <c r="A13" s="33" t="inlineStr">
        <is>
          <t>TOTAL COM LIDERANÇA (linha de frente + líderes)</t>
        </is>
      </c>
      <c r="B13" s="34">
        <f>B11+B12</f>
        <v/>
      </c>
      <c r="C13" s="34">
        <f>C11+C12</f>
        <v/>
      </c>
      <c r="D13" s="34">
        <f>D11+D12</f>
        <v/>
      </c>
      <c r="E13" s="34">
        <f>E11+E12</f>
        <v/>
      </c>
      <c r="F13" s="34">
        <f>F11+F12</f>
        <v/>
      </c>
      <c r="G13" s="34">
        <f>G11+G12</f>
        <v/>
      </c>
      <c r="H13" s="56" t="n"/>
    </row>
    <row r="14">
      <c r="A14" s="56" t="n"/>
      <c r="B14" s="56" t="n"/>
      <c r="C14" s="56" t="n"/>
      <c r="D14" s="56" t="n"/>
      <c r="E14" s="56" t="n"/>
      <c r="F14" s="56" t="n"/>
      <c r="G14" s="56" t="n"/>
      <c r="H14" s="56" t="n"/>
    </row>
    <row r="15">
      <c r="A15" s="73" t="inlineStr">
        <is>
          <t>GESTÃO DA REDE COMERCIAL — VAREJO</t>
        </is>
      </c>
      <c r="B15" s="56" t="n"/>
      <c r="C15" s="56" t="n"/>
      <c r="D15" s="56" t="n"/>
      <c r="E15" s="56" t="n"/>
      <c r="F15" s="56" t="n"/>
      <c r="G15" s="56" t="n"/>
      <c r="H15" s="56" t="n"/>
    </row>
    <row r="16" ht="40" customHeight="1">
      <c r="A16" s="61" t="inlineStr">
        <is>
          <t>Não modelamos Gerente Varejo nem Gerente B2B (foco nos times). A rede de representantes terceiro é coberta por 1 Comercial dedicado a cada 12 representantes (Premissas!B20, span de controle), sem gerência intermediária 'gratuita' — cobertura desde o 1º representante.</t>
        </is>
      </c>
      <c r="H16" s="56" t="n"/>
    </row>
    <row r="17">
      <c r="A17" s="25" t="inlineStr">
        <is>
          <t>Comercial — Gestão de Representantes (terceiro)</t>
        </is>
      </c>
      <c r="B17" s="57">
        <f>ROUNDUP(B7/Premissas!$B$20,0)</f>
        <v/>
      </c>
      <c r="C17" s="57">
        <f>ROUNDUP(C7/Premissas!$B$20,0)</f>
        <v/>
      </c>
      <c r="D17" s="57">
        <f>ROUNDUP(D7/Premissas!$B$20,0)</f>
        <v/>
      </c>
      <c r="E17" s="57">
        <f>ROUNDUP(E7/Premissas!$B$20,0)</f>
        <v/>
      </c>
      <c r="F17" s="57">
        <f>ROUNDUP(F7/Premissas!$B$20,0)</f>
        <v/>
      </c>
      <c r="G17" s="57">
        <f>ROUNDUP(G7/Premissas!$B$20,0)</f>
        <v/>
      </c>
      <c r="H17" s="56" t="n"/>
    </row>
    <row r="18">
      <c r="A18" s="86" t="n"/>
      <c r="B18" s="75" t="n"/>
      <c r="C18" s="75" t="n"/>
      <c r="D18" s="75" t="n"/>
      <c r="E18" s="75" t="n"/>
      <c r="F18" s="75" t="n"/>
      <c r="G18" s="75" t="n"/>
      <c r="H18" s="56" t="n"/>
    </row>
    <row r="19">
      <c r="A19" s="62" t="inlineStr">
        <is>
          <t>MERCHANDISING — ESTRUTURA DE REFERÊNCIA (gestão da agência de promotores, demais estados)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>
      <c r="A20" s="25" t="inlineStr">
        <is>
          <t>Coordenadora Merchandising</t>
        </is>
      </c>
      <c r="B20" s="57" t="n">
        <v>1</v>
      </c>
      <c r="C20" s="57" t="n">
        <v>1</v>
      </c>
      <c r="D20" s="57" t="n">
        <v>1</v>
      </c>
      <c r="E20" s="57" t="n">
        <v>1</v>
      </c>
      <c r="F20" s="57" t="n">
        <v>1</v>
      </c>
      <c r="G20" s="57" t="n">
        <v>1</v>
      </c>
      <c r="H20" s="56" t="n"/>
    </row>
    <row r="21">
      <c r="A21" s="25" t="inlineStr">
        <is>
          <t>Analista Merchandising</t>
        </is>
      </c>
      <c r="B21" s="57" t="n">
        <v>1</v>
      </c>
      <c r="C21" s="57" t="n">
        <v>1</v>
      </c>
      <c r="D21" s="57" t="n">
        <v>1</v>
      </c>
      <c r="E21" s="57" t="n">
        <v>1</v>
      </c>
      <c r="F21" s="57" t="n">
        <v>1</v>
      </c>
      <c r="G21" s="57" t="n">
        <v>1</v>
      </c>
      <c r="H21" s="56" t="n"/>
    </row>
    <row r="22">
      <c r="A22" s="86" t="n"/>
      <c r="B22" s="75" t="n"/>
      <c r="C22" s="75" t="n"/>
      <c r="D22" s="75" t="n"/>
      <c r="E22" s="75" t="n"/>
      <c r="F22" s="75" t="n"/>
      <c r="G22" s="75" t="n"/>
      <c r="H22" s="56" t="n"/>
    </row>
    <row r="23">
      <c r="A23" s="60" t="inlineStr">
        <is>
          <t>CUSTO DE FOLHA — FUNÇÕES COM SALÁRIO DISPONÍVEL (Organograma)</t>
        </is>
      </c>
      <c r="B23" s="56" t="n"/>
      <c r="C23" s="56" t="n"/>
      <c r="D23" s="56" t="n"/>
      <c r="E23" s="56" t="n"/>
      <c r="F23" s="56" t="n"/>
      <c r="G23" s="56" t="n"/>
      <c r="H23" s="56" t="n"/>
    </row>
    <row r="24" ht="52" customHeight="1">
      <c r="A24" s="61" t="inlineStr">
        <is>
          <t>Custo = headcount (linhas acima) × salário médio (Premissas, seção 6). 'Com encargos' usa o multiplicador padrão CLT de 1,8x sobre o salário base — ajustável abaixo. Representante terceiro e Promotores/Abordadores via agência NÃO entram aqui — não são CLT. Promotor/Abordador Próprio (SP/RJ) também fica de fora por ora: é payroll Orfeu, mas sem salário localizado no Organograma. Sem linha de Gerente — não modelado (foco nos times).</t>
        </is>
      </c>
      <c r="H24" s="56" t="n"/>
    </row>
    <row r="25">
      <c r="A25" s="87" t="inlineStr">
        <is>
          <t>Multiplicador de encargos CLT (padrão)</t>
        </is>
      </c>
      <c r="B25" s="64" t="n">
        <v>1.8</v>
      </c>
      <c r="C25" s="56" t="n"/>
      <c r="D25" s="56" t="n"/>
      <c r="E25" s="56" t="n"/>
      <c r="F25" s="56" t="n"/>
      <c r="G25" s="56" t="n"/>
      <c r="H25" s="56" t="n"/>
    </row>
    <row r="26">
      <c r="A26" s="56" t="n"/>
      <c r="B26" s="56" t="n"/>
      <c r="C26" s="56" t="n"/>
      <c r="D26" s="56" t="n"/>
      <c r="E26" s="56" t="n"/>
      <c r="F26" s="56" t="n"/>
      <c r="G26" s="56" t="n"/>
      <c r="H26" s="56" t="n"/>
    </row>
    <row r="27" ht="22" customHeight="1">
      <c r="A27" s="55" t="inlineStr">
        <is>
          <t>Função</t>
        </is>
      </c>
      <c r="B27" s="55" t="inlineStr">
        <is>
          <t>2025 (atual)</t>
        </is>
      </c>
      <c r="C27" s="55" t="inlineStr">
        <is>
          <t>2026</t>
        </is>
      </c>
      <c r="D27" s="55" t="inlineStr">
        <is>
          <t>2027</t>
        </is>
      </c>
      <c r="E27" s="55" t="inlineStr">
        <is>
          <t>2028</t>
        </is>
      </c>
      <c r="F27" s="55" t="inlineStr">
        <is>
          <t>2029</t>
        </is>
      </c>
      <c r="G27" s="55" t="inlineStr">
        <is>
          <t>2030</t>
        </is>
      </c>
      <c r="H27" s="56" t="n"/>
    </row>
    <row r="28">
      <c r="A28" s="88" t="inlineStr">
        <is>
          <t>Vendedor Varejo Direto (SP/RJ) — custo mensal base (sem encargos)</t>
        </is>
      </c>
      <c r="B28" s="89">
        <f>B5*Premissas!$B$67</f>
        <v/>
      </c>
      <c r="C28" s="89">
        <f>C5*Premissas!$B$67</f>
        <v/>
      </c>
      <c r="D28" s="89">
        <f>D5*Premissas!$B$67</f>
        <v/>
      </c>
      <c r="E28" s="89">
        <f>E5*Premissas!$B$67</f>
        <v/>
      </c>
      <c r="F28" s="89">
        <f>F5*Premissas!$B$67</f>
        <v/>
      </c>
      <c r="G28" s="89">
        <f>G5*Premissas!$B$67</f>
        <v/>
      </c>
      <c r="H28" s="56" t="n"/>
    </row>
    <row r="29">
      <c r="A29" s="50" t="inlineStr">
        <is>
          <t>Vendedor Varejo Direto (SP/RJ) — custo mensal com encargos (×1,8)</t>
        </is>
      </c>
      <c r="B29" s="66">
        <f>B28*$B$25</f>
        <v/>
      </c>
      <c r="C29" s="66">
        <f>C28*$B$25</f>
        <v/>
      </c>
      <c r="D29" s="66">
        <f>D28*$B$25</f>
        <v/>
      </c>
      <c r="E29" s="66">
        <f>E28*$B$25</f>
        <v/>
      </c>
      <c r="F29" s="66">
        <f>F28*$B$25</f>
        <v/>
      </c>
      <c r="G29" s="66">
        <f>G28*$B$25</f>
        <v/>
      </c>
      <c r="H29" s="56" t="n"/>
    </row>
    <row r="30">
      <c r="A30" s="48" t="inlineStr">
        <is>
          <t>Comercial — Gestão de Representantes — custo mensal base (sem encargos)</t>
        </is>
      </c>
      <c r="B30" s="65">
        <f>B17*Premissas!$B$68</f>
        <v/>
      </c>
      <c r="C30" s="65">
        <f>C17*Premissas!$B$68</f>
        <v/>
      </c>
      <c r="D30" s="65">
        <f>D17*Premissas!$B$68</f>
        <v/>
      </c>
      <c r="E30" s="65">
        <f>E17*Premissas!$B$68</f>
        <v/>
      </c>
      <c r="F30" s="65">
        <f>F17*Premissas!$B$68</f>
        <v/>
      </c>
      <c r="G30" s="65">
        <f>G17*Premissas!$B$68</f>
        <v/>
      </c>
      <c r="H30" s="56" t="n"/>
    </row>
    <row r="31">
      <c r="A31" s="50" t="inlineStr">
        <is>
          <t>Comercial — Gestão de Representantes — custo mensal com encargos (×1,8)</t>
        </is>
      </c>
      <c r="B31" s="66">
        <f>B30*$B$25</f>
        <v/>
      </c>
      <c r="C31" s="66">
        <f>C30*$B$25</f>
        <v/>
      </c>
      <c r="D31" s="66">
        <f>D30*$B$25</f>
        <v/>
      </c>
      <c r="E31" s="66">
        <f>E30*$B$25</f>
        <v/>
      </c>
      <c r="F31" s="66">
        <f>F30*$B$25</f>
        <v/>
      </c>
      <c r="G31" s="66">
        <f>G30*$B$25</f>
        <v/>
      </c>
      <c r="H31" s="56" t="n"/>
    </row>
    <row r="32">
      <c r="A32" s="48" t="inlineStr">
        <is>
          <t>Coordenadora Merchandising — custo mensal base (sem encargos)</t>
        </is>
      </c>
      <c r="B32" s="65">
        <f>B20*Premissas!$B$69</f>
        <v/>
      </c>
      <c r="C32" s="65">
        <f>C20*Premissas!$B$69</f>
        <v/>
      </c>
      <c r="D32" s="65">
        <f>D20*Premissas!$B$69</f>
        <v/>
      </c>
      <c r="E32" s="65">
        <f>E20*Premissas!$B$69</f>
        <v/>
      </c>
      <c r="F32" s="65">
        <f>F20*Premissas!$B$69</f>
        <v/>
      </c>
      <c r="G32" s="65">
        <f>G20*Premissas!$B$69</f>
        <v/>
      </c>
      <c r="H32" s="56" t="n"/>
    </row>
    <row r="33">
      <c r="A33" s="50" t="inlineStr">
        <is>
          <t>Coordenadora Merchandising — custo mensal com encargos (×1,8)</t>
        </is>
      </c>
      <c r="B33" s="66">
        <f>B32*$B$25</f>
        <v/>
      </c>
      <c r="C33" s="66">
        <f>C32*$B$25</f>
        <v/>
      </c>
      <c r="D33" s="66">
        <f>D32*$B$25</f>
        <v/>
      </c>
      <c r="E33" s="66">
        <f>E32*$B$25</f>
        <v/>
      </c>
      <c r="F33" s="66">
        <f>F32*$B$25</f>
        <v/>
      </c>
      <c r="G33" s="66">
        <f>G32*$B$25</f>
        <v/>
      </c>
      <c r="H33" s="56" t="n"/>
    </row>
    <row r="34">
      <c r="A34" s="48" t="inlineStr">
        <is>
          <t>Analista Merchandising — custo mensal base (sem encargos)</t>
        </is>
      </c>
      <c r="B34" s="65">
        <f>B21*Premissas!$B$70</f>
        <v/>
      </c>
      <c r="C34" s="65">
        <f>C21*Premissas!$B$70</f>
        <v/>
      </c>
      <c r="D34" s="65">
        <f>D21*Premissas!$B$70</f>
        <v/>
      </c>
      <c r="E34" s="65">
        <f>E21*Premissas!$B$70</f>
        <v/>
      </c>
      <c r="F34" s="65">
        <f>F21*Premissas!$B$70</f>
        <v/>
      </c>
      <c r="G34" s="65">
        <f>G21*Premissas!$B$70</f>
        <v/>
      </c>
      <c r="H34" s="56" t="n"/>
    </row>
    <row r="35">
      <c r="A35" s="50" t="inlineStr">
        <is>
          <t>Analista Merchandising — custo mensal com encargos (×1,8)</t>
        </is>
      </c>
      <c r="B35" s="66">
        <f>B34*$B$25</f>
        <v/>
      </c>
      <c r="C35" s="66">
        <f>C34*$B$25</f>
        <v/>
      </c>
      <c r="D35" s="66">
        <f>D34*$B$25</f>
        <v/>
      </c>
      <c r="E35" s="66">
        <f>E34*$B$25</f>
        <v/>
      </c>
      <c r="F35" s="66">
        <f>F34*$B$25</f>
        <v/>
      </c>
      <c r="G35" s="66">
        <f>G34*$B$25</f>
        <v/>
      </c>
      <c r="H35" s="56" t="n"/>
    </row>
    <row r="36">
      <c r="A36" s="48" t="inlineStr">
        <is>
          <t>Comercial (B2B) — custo mensal base (sem encargos)</t>
        </is>
      </c>
      <c r="B36" s="65">
        <f>B9*Premissas!$B$64</f>
        <v/>
      </c>
      <c r="C36" s="65">
        <f>C9*Premissas!$B$64</f>
        <v/>
      </c>
      <c r="D36" s="65">
        <f>D9*Premissas!$B$64</f>
        <v/>
      </c>
      <c r="E36" s="65">
        <f>E9*Premissas!$B$64</f>
        <v/>
      </c>
      <c r="F36" s="65">
        <f>F9*Premissas!$B$64</f>
        <v/>
      </c>
      <c r="G36" s="65">
        <f>G9*Premissas!$B$64</f>
        <v/>
      </c>
      <c r="H36" s="56" t="n"/>
    </row>
    <row r="37">
      <c r="A37" s="50" t="inlineStr">
        <is>
          <t>Comercial (B2B) — custo mensal com encargos (×1,8)</t>
        </is>
      </c>
      <c r="B37" s="66">
        <f>B36*$B$25</f>
        <v/>
      </c>
      <c r="C37" s="66">
        <f>C36*$B$25</f>
        <v/>
      </c>
      <c r="D37" s="66">
        <f>D36*$B$25</f>
        <v/>
      </c>
      <c r="E37" s="66">
        <f>E36*$B$25</f>
        <v/>
      </c>
      <c r="F37" s="66">
        <f>F36*$B$25</f>
        <v/>
      </c>
      <c r="G37" s="66">
        <f>G36*$B$25</f>
        <v/>
      </c>
      <c r="H37" s="56" t="n"/>
    </row>
    <row r="38">
      <c r="A38" s="48" t="inlineStr">
        <is>
          <t>Baristas (B2B) — custo mensal base (sem encargos)</t>
        </is>
      </c>
      <c r="B38" s="65">
        <f>B10*Premissas!$B$65</f>
        <v/>
      </c>
      <c r="C38" s="65">
        <f>C10*Premissas!$B$65</f>
        <v/>
      </c>
      <c r="D38" s="65">
        <f>D10*Premissas!$B$65</f>
        <v/>
      </c>
      <c r="E38" s="65">
        <f>E10*Premissas!$B$65</f>
        <v/>
      </c>
      <c r="F38" s="65">
        <f>F10*Premissas!$B$65</f>
        <v/>
      </c>
      <c r="G38" s="65">
        <f>G10*Premissas!$B$65</f>
        <v/>
      </c>
      <c r="H38" s="56" t="n"/>
    </row>
    <row r="39">
      <c r="A39" s="50" t="inlineStr">
        <is>
          <t>Baristas (B2B) — custo mensal com encargos (×1,8)</t>
        </is>
      </c>
      <c r="B39" s="66">
        <f>B38*$B$25</f>
        <v/>
      </c>
      <c r="C39" s="66">
        <f>C38*$B$25</f>
        <v/>
      </c>
      <c r="D39" s="66">
        <f>D38*$B$25</f>
        <v/>
      </c>
      <c r="E39" s="66">
        <f>E38*$B$25</f>
        <v/>
      </c>
      <c r="F39" s="66">
        <f>F38*$B$25</f>
        <v/>
      </c>
      <c r="G39" s="66">
        <f>G38*$B$25</f>
        <v/>
      </c>
      <c r="H39" s="56" t="n"/>
    </row>
    <row r="40">
      <c r="A40" s="52" t="inlineStr">
        <is>
          <t>TOTAL FOLHA MENSAL COM ENCARGOS (todas as funções com salário disponível)</t>
        </is>
      </c>
      <c r="B40" s="53">
        <f>B29+B31+B33+B35+B37+B39</f>
        <v/>
      </c>
      <c r="C40" s="53">
        <f>C29+C31+C33+C35+C37+C39</f>
        <v/>
      </c>
      <c r="D40" s="53">
        <f>D29+D31+D33+D35+D37+D39</f>
        <v/>
      </c>
      <c r="E40" s="53">
        <f>E29+E31+E33+E35+E37+E39</f>
        <v/>
      </c>
      <c r="F40" s="53">
        <f>F29+F31+F33+F35+F37+F39</f>
        <v/>
      </c>
      <c r="G40" s="53">
        <f>G29+G31+G33+G35+G37+G39</f>
        <v/>
      </c>
      <c r="H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</row>
    <row r="42" ht="52" customHeight="1">
      <c r="A42" s="77" t="inlineStr">
        <is>
          <t>⚠ Não inclui Representante terceiro nem Promotores/Abordadores via agência — por desenho, não são CLT/payroll Orfeu. Promotor/Abordador Próprio (SP/RJ) TAMBÉM fica de fora — é payroll Orfeu, mas sem salário ainda localizado no Organograma (gap de dado, não de desenho). Não inclui custo de gerência (Gerente Varejo/Gerente B2B) — não modelado, foco nos times. Mapear com RH/Financeiro para completar a folha total.</t>
        </is>
      </c>
      <c r="H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</row>
    <row r="44">
      <c r="A44" s="59" t="n"/>
      <c r="B44" s="56" t="n"/>
      <c r="C44" s="56" t="n"/>
      <c r="D44" s="56" t="n"/>
      <c r="E44" s="56" t="n"/>
      <c r="F44" s="56" t="n"/>
      <c r="G44" s="56" t="n"/>
      <c r="H44" s="56" t="n"/>
    </row>
    <row r="45">
      <c r="A45" s="59" t="n"/>
      <c r="B45" s="56" t="n"/>
      <c r="C45" s="56" t="n"/>
      <c r="D45" s="56" t="n"/>
      <c r="E45" s="56" t="n"/>
      <c r="F45" s="56" t="n"/>
      <c r="G45" s="56" t="n"/>
      <c r="H45" s="56" t="n"/>
    </row>
    <row r="46">
      <c r="A46" s="56" t="n"/>
      <c r="B46" s="56" t="n"/>
      <c r="C46" s="56" t="n"/>
      <c r="D46" s="56" t="n"/>
      <c r="E46" s="56" t="n"/>
      <c r="F46" s="56" t="n"/>
      <c r="G46" s="56" t="n"/>
      <c r="H46" s="56" t="n"/>
    </row>
    <row r="47">
      <c r="A47" s="56" t="n"/>
      <c r="B47" s="56" t="n"/>
      <c r="C47" s="56" t="n"/>
      <c r="D47" s="56" t="n"/>
      <c r="E47" s="56" t="n"/>
      <c r="F47" s="56" t="n"/>
      <c r="G47" s="56" t="n"/>
      <c r="H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</row>
    <row r="57">
      <c r="A57" s="56" t="n"/>
      <c r="B57" s="56" t="n"/>
      <c r="C57" s="56" t="n"/>
      <c r="D57" s="56" t="n"/>
      <c r="E57" s="56" t="n"/>
      <c r="F57" s="56" t="n"/>
      <c r="G57" s="56" t="n"/>
      <c r="H57" s="56" t="n"/>
    </row>
    <row r="58">
      <c r="A58" s="56" t="n"/>
      <c r="B58" s="56" t="n"/>
      <c r="C58" s="56" t="n"/>
      <c r="D58" s="56" t="n"/>
      <c r="E58" s="56" t="n"/>
      <c r="F58" s="56" t="n"/>
      <c r="G58" s="56" t="n"/>
      <c r="H58" s="56" t="n"/>
    </row>
  </sheetData>
  <mergeCells count="4">
    <mergeCell ref="A24:G24"/>
    <mergeCell ref="A2:G2"/>
    <mergeCell ref="A42:G42"/>
    <mergeCell ref="A16:G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zoomScale="10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1" t="inlineStr">
        <is>
          <t>RESUMO EXECUTIVO — SIMULADOR COMERCIAL ORFEU</t>
        </is>
      </c>
    </row>
    <row r="3">
      <c r="A3" s="8" t="inlineStr"/>
      <c r="B3" s="8" t="inlineStr">
        <is>
          <t>2025 (base)</t>
        </is>
      </c>
      <c r="C3" s="8" t="inlineStr">
        <is>
          <t>2026</t>
        </is>
      </c>
      <c r="D3" s="8" t="inlineStr">
        <is>
          <t>2027</t>
        </is>
      </c>
      <c r="E3" s="8" t="inlineStr">
        <is>
          <t>2028</t>
        </is>
      </c>
      <c r="F3" s="8" t="inlineStr">
        <is>
          <t>2029</t>
        </is>
      </c>
      <c r="G3" s="8" t="inlineStr">
        <is>
          <t>2030</t>
        </is>
      </c>
    </row>
    <row r="4">
      <c r="A4" s="11" t="inlineStr">
        <is>
          <t>Receita Projetada — Varejo + B2B + Online</t>
        </is>
      </c>
      <c r="B4" s="7">
        <f>'Projeção Receita'!D59</f>
        <v/>
      </c>
      <c r="C4" s="7">
        <f>'Projeção Receita'!E59</f>
        <v/>
      </c>
      <c r="D4" s="7">
        <f>'Projeção Receita'!F59</f>
        <v/>
      </c>
      <c r="E4" s="7">
        <f>'Projeção Receita'!G59</f>
        <v/>
      </c>
      <c r="F4" s="7">
        <f>'Projeção Receita'!H59</f>
        <v/>
      </c>
      <c r="G4" s="7">
        <f>'Projeção Receita'!I59</f>
        <v/>
      </c>
    </row>
    <row r="5">
      <c r="A5" s="11" t="inlineStr">
        <is>
          <t>Ambição da Companhia (referência)</t>
        </is>
      </c>
      <c r="B5" s="11" t="inlineStr">
        <is>
          <t>n/d</t>
        </is>
      </c>
      <c r="C5" s="7">
        <f>Premissas!$B$24</f>
        <v/>
      </c>
      <c r="D5" s="7">
        <f>Premissas!$B$24+(0.25)*(Premissas!$B$25-Premissas!$B$24)</f>
        <v/>
      </c>
      <c r="E5" s="7">
        <f>Premissas!$B$24+(0.5)*(Premissas!$B$25-Premissas!$B$24)</f>
        <v/>
      </c>
      <c r="F5" s="7">
        <f>Premissas!$B$24+(0.75)*(Premissas!$B$25-Premissas!$B$24)</f>
        <v/>
      </c>
      <c r="G5" s="7">
        <f>Premissas!$B$24+(1.0)*(Premissas!$B$25-Premissas!$B$24)</f>
        <v/>
      </c>
    </row>
    <row r="6">
      <c r="A6" s="11" t="inlineStr">
        <is>
          <t>Gap vs. Ambição (Varejo+B2B+Online como % da ambição total)</t>
        </is>
      </c>
      <c r="C6" s="14">
        <f>C4/C5</f>
        <v/>
      </c>
      <c r="D6" s="14">
        <f>D4/D5</f>
        <v/>
      </c>
      <c r="E6" s="14">
        <f>E4/E5</f>
        <v/>
      </c>
      <c r="F6" s="14">
        <f>F4/F5</f>
        <v/>
      </c>
      <c r="G6" s="14">
        <f>G4/G5</f>
        <v/>
      </c>
    </row>
    <row r="8" ht="28" customHeight="1">
      <c r="A8" s="107" t="inlineStr">
        <is>
          <t>Nota: 2026 usa o fechamento REAL (R$163M, Premissas!B24), distribuído pelo mix de estado/canal de 2025 (Premissas!B77) — atualizar quando o mix real de 2026 estiver disponível. Ambição 2030 = R$400M (Brasil, Premissas!B25). Este simulador cobre Varejo + B2B + Online (site próprio, Mercado Livre e Amazon). A partir de 2027: crescimento orgânico Varejo/B2B 25,5% a.a. (Premissas!B4/B5), Online 25% a.a. (Premissas!B9), bônus de aceleração de mercado 25%/20%/10% nos anos 1/2/3 de priorização (Premissas!B6/B7/B8). Estrutura comercial: fora de SP/RJ, Representante/Comercial B2B e Promotores/Abordadores usam sinergia geográfica regional (Premissas!B75/B76) para manter o Faturamento por QLP próximo ao patamar atual (~R$5M/pessoa/ano) ao longo da projeção — ver seção 7 de Premissas. Fora do escopo: Distribuidor, Indústria, Exportação, Consumidor.</t>
        </is>
      </c>
    </row>
    <row r="10">
      <c r="A10" s="8" t="inlineStr"/>
      <c r="B10" s="8" t="inlineStr">
        <is>
          <t>2025 (base)</t>
        </is>
      </c>
      <c r="C10" s="8" t="inlineStr">
        <is>
          <t>2026</t>
        </is>
      </c>
      <c r="D10" s="8" t="inlineStr">
        <is>
          <t>2027</t>
        </is>
      </c>
      <c r="E10" s="8" t="inlineStr">
        <is>
          <t>2028</t>
        </is>
      </c>
      <c r="F10" s="8" t="inlineStr">
        <is>
          <t>2029</t>
        </is>
      </c>
      <c r="G10" s="8" t="inlineStr">
        <is>
          <t>2030</t>
        </is>
      </c>
    </row>
    <row r="11">
      <c r="A11" s="11" t="inlineStr">
        <is>
          <t>Total Funcionários Comerciais (linha de frente)</t>
        </is>
      </c>
      <c r="B11" s="11">
        <f>Funcionários!D114</f>
        <v/>
      </c>
      <c r="C11" s="11">
        <f>Funcionários!E114</f>
        <v/>
      </c>
      <c r="D11" s="11">
        <f>Funcionários!F114</f>
        <v/>
      </c>
      <c r="E11" s="11">
        <f>Funcionários!G114</f>
        <v/>
      </c>
      <c r="F11" s="11">
        <f>Funcionários!H114</f>
        <v/>
      </c>
      <c r="G11" s="11">
        <f>Funcionários!I114</f>
        <v/>
      </c>
    </row>
    <row r="12">
      <c r="A12" s="11" t="inlineStr">
        <is>
          <t>Receita / Funcionário (R$/ano)</t>
        </is>
      </c>
      <c r="B12" s="7">
        <f>IF(B11=0,"n/d",B4/B11)</f>
        <v/>
      </c>
      <c r="C12" s="7">
        <f>IF(C11=0,"n/d",C4/C11)</f>
        <v/>
      </c>
      <c r="D12" s="7">
        <f>IF(D11=0,"n/d",D4/D11)</f>
        <v/>
      </c>
      <c r="E12" s="7">
        <f>IF(E11=0,"n/d",E4/E11)</f>
        <v/>
      </c>
      <c r="F12" s="7">
        <f>IF(F11=0,"n/d",F4/F11)</f>
        <v/>
      </c>
      <c r="G12" s="7">
        <f>IF(G11=0,"n/d",G4/G11)</f>
        <v/>
      </c>
    </row>
    <row r="14">
      <c r="A14" s="13" t="inlineStr">
        <is>
          <t>Fontes: Simulador Orfeu.xlsx (Base_Unitaria, hist. 2025), Organograma_Time_Comercial_SNomes.xlsx (headcount atual), Mercados foco jul/2026 (priorização de estados/cidades).</t>
        </is>
      </c>
    </row>
  </sheetData>
  <mergeCells count="3">
    <mergeCell ref="A8:G8"/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2026-08-06T00:21:01Z</dcterms:created>
  <dcterms:modified xmlns:dcterms="http://purl.org/dc/terms/" xmlns:xsi="http://www.w3.org/2001/XMLSchema-instance" xsi:type="dcterms:W3CDTF">2026-08-19T21:20:15Z</dcterms:modified>
</cp:coreProperties>
</file>